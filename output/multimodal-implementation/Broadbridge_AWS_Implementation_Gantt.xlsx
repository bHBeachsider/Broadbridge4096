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e5a3cf33a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S start" sheetId="1" r:id="R4c3ec1a606b94800"/>
    <x:sheet xmlns:r="http://schemas.openxmlformats.org/officeDocument/2006/relationships" name="Start here" sheetId="2" r:id="R77a280ed63334608"/>
    <x:sheet xmlns:r="http://schemas.openxmlformats.org/officeDocument/2006/relationships" name="Gantt" sheetId="3" r:id="Rd3ee28cf50c44dee"/>
    <x:sheet xmlns:r="http://schemas.openxmlformats.org/officeDocument/2006/relationships" name="Tasks" sheetId="4" r:id="R4fd73a78d8564415"/>
    <x:sheet xmlns:r="http://schemas.openxmlformats.org/officeDocument/2006/relationships" name="Task detail" sheetId="5" r:id="Rc27d370a598b4cd6"/>
    <x:sheet xmlns:r="http://schemas.openxmlformats.org/officeDocument/2006/relationships" name="Source routing" sheetId="6" r:id="R1eb990f6d0e643c3"/>
    <x:sheet xmlns:r="http://schemas.openxmlformats.org/officeDocument/2006/relationships" name="Processing recipes" sheetId="7" r:id="Ra89d6d2ab7cd4055"/>
    <x:sheet xmlns:r="http://schemas.openxmlformats.org/officeDocument/2006/relationships" name="Capacity" sheetId="8" r:id="R44da1b8ddd894d3d"/>
    <x:sheet xmlns:r="http://schemas.openxmlformats.org/officeDocument/2006/relationships" name="Weekly effort" sheetId="9" r:id="R5aae6b8067bb4e96"/>
    <x:sheet xmlns:r="http://schemas.openxmlformats.org/officeDocument/2006/relationships" name="References" sheetId="10" r:id="Rab2cadff21d0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;;;"/>
    <x:numFmt numFmtId="203" formatCode="0.0"/>
  </x:numFmts>
  <x:fonts count="9">
    <x:font>
      <x:sz val="11"/>
      <x:name val="Carlito"/>
    </x:font>
    <x:font>
      <x:sz val="10"/>
      <x:color rgb="FF202020"/>
      <x:name val="Arial"/>
    </x:font>
    <x:font>
      <x:b/>
      <x:sz val="17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1"/>
      <x:color rgb="FF202020"/>
      <x:name val="Arial"/>
    </x:font>
    <x:font>
      <x:b/>
      <x:sz val="18"/>
      <x:color rgb="FF202020"/>
      <x:name val="Arial"/>
    </x:font>
    <x:font>
      <x:b/>
      <x:sz val="11"/>
      <x:color rgb="FFFFFFFF"/>
      <x:name val="Arial"/>
    </x:font>
    <x:font>
      <x:b/>
      <x:sz val="11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64D"/>
      </x:patternFill>
    </x:fill>
    <x:fill>
      <x:patternFill patternType="solid">
        <x:fgColor rgb="FFEDF2F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7" fillId="2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0" fontId="5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wrapText="1"/>
    </x:xf>
    <x:xf numFmtId="200" fontId="5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1"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F9D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8da026fa74f17" /><Relationship Type="http://schemas.openxmlformats.org/officeDocument/2006/relationships/theme" Target="/xl/theme/theme1.xml" Id="Rd383f0fd11a54118" /><Relationship Type="http://schemas.openxmlformats.org/officeDocument/2006/relationships/sharedStrings" Target="/xl/sharedStrings.xml" Id="R4da568116d544c28" /><Relationship Type="http://schemas.openxmlformats.org/officeDocument/2006/relationships/worksheet" Target="/xl/worksheets/sheet1.xml" Id="R4c3ec1a606b94800" /><Relationship Type="http://schemas.openxmlformats.org/officeDocument/2006/relationships/worksheet" Target="/xl/worksheets/sheet2.xml" Id="R77a280ed63334608" /><Relationship Type="http://schemas.openxmlformats.org/officeDocument/2006/relationships/worksheet" Target="/xl/worksheets/sheet3.xml" Id="Rd3ee28cf50c44dee" /><Relationship Type="http://schemas.openxmlformats.org/officeDocument/2006/relationships/worksheet" Target="/xl/worksheets/sheet4.xml" Id="R4fd73a78d8564415" /><Relationship Type="http://schemas.openxmlformats.org/officeDocument/2006/relationships/worksheet" Target="/xl/worksheets/sheet5.xml" Id="Rc27d370a598b4cd6" /><Relationship Type="http://schemas.openxmlformats.org/officeDocument/2006/relationships/worksheet" Target="/xl/worksheets/sheet6.xml" Id="R1eb990f6d0e643c3" /><Relationship Type="http://schemas.openxmlformats.org/officeDocument/2006/relationships/worksheet" Target="/xl/worksheets/sheet7.xml" Id="Ra89d6d2ab7cd4055" /><Relationship Type="http://schemas.openxmlformats.org/officeDocument/2006/relationships/worksheet" Target="/xl/worksheets/sheet8.xml" Id="R44da1b8ddd894d3d" /><Relationship Type="http://schemas.openxmlformats.org/officeDocument/2006/relationships/worksheet" Target="/xl/worksheets/sheet9.xml" Id="R5aae6b8067bb4e96" /><Relationship Type="http://schemas.openxmlformats.org/officeDocument/2006/relationships/worksheet" Target="/xl/worksheets/sheet10.xml" Id="Rab2cadff21d04986" /></Relationships>
</file>

<file path=xl/tables/table1.xml><?xml version="1.0" encoding="utf-8"?>
<x:table xmlns:x="http://schemas.openxmlformats.org/spreadsheetml/2006/main" id="1" name="AWSExecutionSteps" displayName="AWSExecutionSteps" ref="A5:G20" headerRowCount="1" totalsRowCount="0" totalsRowShown="0">
  <x:tableColumns count="7">
    <x:tableColumn id="1" name="Step"/>
    <x:tableColumn id="2" name="Task IDs"/>
    <x:tableColumn id="3" name="Action"/>
    <x:tableColumn id="4" name="Lead"/>
    <x:tableColumn id="5" name="How to do it"/>
    <x:tableColumn id="6" name="Completion evidence"/>
    <x:tableColumn id="7" name="Runbook s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Tasks" displayName="ImplementationTasks" ref="A5:U75" headerRowCount="1" totalsRowCount="0" totalsRowShown="0">
  <x:tableColumns count="21">
    <x:tableColumn id="1" name="ID"/>
    <x:tableColumn id="2" name="Workstream"/>
    <x:tableColumn id="3" name="Task"/>
    <x:tableColumn id="4" name="Owner code"/>
    <x:tableColumn id="5" name="Baseline hold day"/>
    <x:tableColumn id="6" name="Duration days"/>
    <x:tableColumn id="7" name="Predecessor1"/>
    <x:tableColumn id="8" name="Predecessor2"/>
    <x:tableColumn id="9" name="Predecessor3"/>
    <x:tableColumn id="10" name="Predecessor4"/>
    <x:tableColumn id="11" name="Start day"/>
    <x:tableColumn id="12" name="Finish day"/>
    <x:tableColumn id="13" name="Start date"/>
    <x:tableColumn id="14" name="Finish date"/>
    <x:tableColumn id="15" name="Owner hours"/>
    <x:tableColumn id="16" name="Reviewer code"/>
    <x:tableColumn id="17" name="Review hours"/>
    <x:tableColumn id="18" name="Status"/>
    <x:tableColumn id="19" name="Complete"/>
    <x:tableColumn id="20" name="Runbook section"/>
    <x:tableColumn id="21" name="Blocker or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lementationDetail" displayName="ImplementationDetail" ref="A5:H75" headerRowCount="1" totalsRowCount="0" totalsRowShown="0">
  <x:tableColumns count="8">
    <x:tableColumn id="1" name="ID"/>
    <x:tableColumn id="2" name="Task"/>
    <x:tableColumn id="3" name="Inputs"/>
    <x:tableColumn id="4" name="Implementation steps"/>
    <x:tableColumn id="5" name="Required output"/>
    <x:tableColumn id="6" name="Acceptance check"/>
    <x:tableColumn id="7" name="Reviewer"/>
    <x:tableColumn id="8" name="Runbook s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outes" displayName="SourceRoutes" ref="A5:G56" headerRowCount="1" totalsRowCount="0" totalsRowShown="0">
  <x:tableColumns count="7">
    <x:tableColumn id="1" name="Source ID"/>
    <x:tableColumn id="2" name="Source or model"/>
    <x:tableColumn id="3" name="Recipe"/>
    <x:tableColumn id="4" name="Disposition"/>
    <x:tableColumn id="5" name="Task IDs"/>
    <x:tableColumn id="6" name="Original URL"/>
    <x:tableColumn id="7" name="Processing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cessingRecipes" displayName="ProcessingRecipes" ref="A5:H17" headerRowCount="1" totalsRowCount="0" totalsRowShown="0">
  <x:tableColumns count="8">
    <x:tableColumn id="1" name="Recipe"/>
    <x:tableColumn id="2" name="Input type"/>
    <x:tableColumn id="3" name="Accepted source formats"/>
    <x:tableColumn id="4" name="Processing steps"/>
    <x:tableColumn id="5" name="Output formats"/>
    <x:tableColumn id="6" name="Permitted destination after clearance"/>
    <x:tableColumn id="7" name="Quality check"/>
    <x:tableColumn id="8" name="Task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a9a24e4d27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5aa42dc40804f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a8b62cb61d34f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36b741e0a5b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ff7e24d9b5f41c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" hidden="0" customWidth="1"/>
    <x:col min="2" max="2" width="26" hidden="0" customWidth="1"/>
    <x:col min="3" max="3" width="43" hidden="0" customWidth="1"/>
    <x:col min="4" max="4" width="30" hidden="0" customWidth="1"/>
    <x:col min="5" max="5" width="94" hidden="0" customWidth="1"/>
    <x:col min="6" max="6" width="72" hidden="0" customWidth="1"/>
    <x:col min="7" max="7" width="17" hidden="0" customWidth="1"/>
  </x:cols>
  <x:sheetData>
    <x:row r="1" ht="27" customHeight="1">
      <x:c r="A1" s="2" t="str">
        <x:v>Start by running the foundation in AWS</x:v>
      </x:c>
      <x:c r="B1" s="1"/>
      <x:c r="C1" s="1"/>
      <x:c r="D1" s="1"/>
      <x:c r="E1" s="1"/>
      <x:c r="F1" s="1"/>
      <x:c r="G1" s="1"/>
    </x:row>
    <x:row r="2" ht="28" customHeight="1">
      <x:c r="A2" s="3" t="str">
        <x:v>Begin at step 1. These steps map to Tasks; effort is already included there. Commands are in runbook AWS 2 through AWS 5.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7" t="str">
        <x:v>Step</x:v>
      </x:c>
      <x:c r="B5" s="7" t="str">
        <x:v>Task IDs</x:v>
      </x:c>
      <x:c r="C5" s="7" t="str">
        <x:v>Action</x:v>
      </x:c>
      <x:c r="D5" s="7" t="str">
        <x:v>Lead</x:v>
      </x:c>
      <x:c r="E5" s="7" t="str">
        <x:v>How to do it</x:v>
      </x:c>
      <x:c r="F5" s="7" t="str">
        <x:v>Completion evidence</x:v>
      </x:c>
      <x:c r="G5" s="7" t="str">
        <x:v>Runbook section</x:v>
      </x:c>
    </x:row>
    <x:row r="6" ht="105" customHeight="1">
      <x:c r="A6" s="10" t="str">
        <x:v>1</x:v>
      </x:c>
      <x:c r="B6" s="10" t="str">
        <x:v>B01</x:v>
      </x:c>
      <x:c r="C6" s="10" t="str">
        <x:v>Launch AWS compute</x:v>
      </x:c>
      <x:c r="D6" s="10" t="str">
        <x:v>Cloud implementer</x:v>
      </x:c>
      <x:c r="E6" s="10" t="str">
        <x:v>EC2 console: launch g6e.2xlarge from an AWS PyTorch GPU Deep Learning AMI; select the approved VPC/subnet, instance role and no-inbound security group; add 300 GiB encrypted gp3 EBS.</x:v>
      </x:c>
      <x:c r="F6" s="10" t="str">
        <x:v>SSM session opens; nvidia-smi shows GPU; save instance and AMI IDs.</x:v>
      </x:c>
      <x:c r="G6" s="10" t="str">
        <x:v>AWS 2</x:v>
      </x:c>
    </x:row>
    <x:row r="7" ht="105" customHeight="1">
      <x:c r="A7" s="9" t="str">
        <x:v>2</x:v>
      </x:c>
      <x:c r="B7" s="9" t="str">
        <x:v>B01</x:v>
      </x:c>
      <x:c r="C7" s="9" t="str">
        <x:v>Create storage and permissions</x:v>
      </x:c>
      <x:c r="D7" s="9" t="str">
        <x:v>Cloud implementer</x:v>
      </x:c>
      <x:c r="E7" s="9" t="str">
        <x:v>Create private S3 model, data, run and evaluator buckets with versioning and default KMS encryption. Trainer can read only released train/dev prefixes; evaluator answers use a separate role/bucket.</x:v>
      </x:c>
      <x:c r="F7" s="9" t="str">
        <x:v>Record bucket names, key ARNs and roles; positive and denial access tests pass.</x:v>
      </x:c>
      <x:c r="G7" s="9" t="str">
        <x:v>AWS 2</x:v>
      </x:c>
    </x:row>
    <x:row r="8" ht="105" customHeight="1">
      <x:c r="A8" s="10" t="str">
        <x:v>3</x:v>
      </x:c>
      <x:c r="B8" s="10" t="str">
        <x:v>B02</x:v>
      </x:c>
      <x:c r="C8" s="10" t="str">
        <x:v>Install the model runtime</x:v>
      </x:c>
      <x:c r="D8" s="10" t="str">
        <x:v>Applied AI Engineer</x:v>
      </x:c>
      <x:c r="E8" s="10" t="str">
        <x:v>Activate the AMI PyTorch environment; run bootstrap.sh from the supplied AWS ZIP on EC2. Preserve the AMI Torch version with a constraint.</x:v>
      </x:c>
      <x:c r="F8" s="10" t="str">
        <x:v>CUDA/BF16 and model-class imports pass; candidate-requirements.txt saved.</x:v>
      </x:c>
      <x:c r="G8" s="10" t="str">
        <x:v>AWS 3</x:v>
      </x:c>
    </x:row>
    <x:row r="9" ht="105" customHeight="1">
      <x:c r="A9" s="9" t="str">
        <x:v>4</x:v>
      </x:c>
      <x:c r="B9" s="9" t="str">
        <x:v>B03</x:v>
      </x:c>
      <x:c r="C9" s="9" t="str">
        <x:v>Choose an exact foundation revision</x:v>
      </x:c>
      <x:c r="D9" s="9" t="str">
        <x:v>Head of Product and AI</x:v>
      </x:c>
      <x:c r="E9" s="9" t="str">
        <x:v>Pin the full commit using Hugging Face repository history before AWS setup, or the helper in a developer environment. On EC2, use foundation_download.py --resolve-only to check the candidate. Download the reviewed SHA even if main has advanced.</x:v>
      </x:c>
      <x:c r="F9" s="9" t="str">
        <x:v>Approved full commit SHA and license evidence recorded.</x:v>
      </x:c>
      <x:c r="G9" s="9" t="str">
        <x:v>AWS 3</x:v>
      </x:c>
    </x:row>
    <x:row r="10" ht="105" customHeight="1">
      <x:c r="A10" s="10" t="str">
        <x:v>5</x:v>
      </x:c>
      <x:c r="B10" s="10" t="str">
        <x:v>B04</x:v>
      </x:c>
      <x:c r="C10" s="10" t="str">
        <x:v>Download the foundation into AWS</x:v>
      </x:c>
      <x:c r="D10" s="10" t="str">
        <x:v>Applied AI Engineer</x:v>
      </x:c>
      <x:c r="E10" s="10" t="str">
        <x:v>Run foundation_download.py --revision FULL_SHA on EC2. Weights, config, tokenizer and image processor land in /srv/broadbridge/models/Qwen3.5-4B/FULL_SHA.</x:v>
      </x:c>
      <x:c r="F10" s="10" t="str">
        <x:v>Shard references resolve; artifact hashes and manifest written.</x:v>
      </x:c>
      <x:c r="G10" s="10" t="str">
        <x:v>AWS 3</x:v>
      </x:c>
    </x:row>
    <x:row r="11" ht="105" customHeight="1">
      <x:c r="A11" s="9" t="str">
        <x:v>6</x:v>
      </x:c>
      <x:c r="B11" s="9" t="str">
        <x:v>B04</x:v>
      </x:c>
      <x:c r="C11" s="9" t="str">
        <x:v>Back up the model in S3</x:v>
      </x:c>
      <x:c r="D11" s="9" t="str">
        <x:v>Applied AI Engineer</x:v>
      </x:c>
      <x:c r="E11" s="9" t="str">
        <x:v>Copy the local revision directory to s3://MODEL_BUCKET/foundation/Qwen3.5-4B/FULL_SHA/ using aws s3 sync and KMS encryption.</x:v>
      </x:c>
      <x:c r="F11" s="9" t="str">
        <x:v>List object count, verify representative downloads against local SHA256; save S3 URI.</x:v>
      </x:c>
      <x:c r="G11" s="9" t="str">
        <x:v>AWS 4</x:v>
      </x:c>
    </x:row>
    <x:row r="12" ht="105" customHeight="1">
      <x:c r="A12" s="10" t="str">
        <x:v>7</x:v>
      </x:c>
      <x:c r="B12" s="10" t="str">
        <x:v>B05</x:v>
      </x:c>
      <x:c r="C12" s="10" t="str">
        <x:v>Run text and image questions</x:v>
      </x:c>
      <x:c r="D12" s="10" t="str">
        <x:v>Applied AI Engineer</x:v>
      </x:c>
      <x:c r="E12" s="10" t="str">
        <x:v>Run foundation_smoke.py with --model local revision directory and --image fixtures/demo_pressure.png. Review generated text and chart answer.</x:v>
      </x:c>
      <x:c r="F12" s="10" t="str">
        <x:v>baseline_smoke.json contains actual responses, timing and peak memory.</x:v>
      </x:c>
      <x:c r="G12" s="10" t="str">
        <x:v>AWS 4</x:v>
      </x:c>
    </x:row>
    <x:row r="13" ht="105" customHeight="1">
      <x:c r="A13" s="9" t="str">
        <x:v>8</x:v>
      </x:c>
      <x:c r="B13" s="9" t="str">
        <x:v>B06 B07</x:v>
      </x:c>
      <x:c r="C13" s="9" t="str">
        <x:v>Prove a training step and reload</x:v>
      </x:c>
      <x:c r="D13" s="9" t="str">
        <x:v>Applied AI Engineer</x:v>
      </x:c>
      <x:c r="E13" s="9" t="str">
        <x:v>Use the earlier synthetic training kit to audit language-only adapter targets and completion loss masks; execute ten optimizer steps; save/reload adapter against this exact AWS base.</x:v>
      </x:c>
      <x:c r="F13" s="9" t="str">
        <x:v>Finite loss, actual parameter changes, correct masks and successful reload.</x:v>
      </x:c>
      <x:c r="G13" s="9" t="str">
        <x:v>14 and 15</x:v>
      </x:c>
    </x:row>
    <x:row r="14" ht="105" customHeight="1">
      <x:c r="A14" s="10" t="str">
        <x:v>9</x:v>
      </x:c>
      <x:c r="B14" s="10" t="str">
        <x:v>C01 C02</x:v>
      </x:c>
      <x:c r="C14" s="10" t="str">
        <x:v>Upload the first cleared source batch</x:v>
      </x:c>
      <x:c r="D14" s="10" t="str">
        <x:v>Knowledge Engineer</x:v>
      </x:c>
      <x:c r="E14" s="10" t="str">
        <x:v>Upload about 20 representative cleared originals with manifests to the S3 quarantine prefix. Include digital PDFs, scans and diagrams; include emails only with appropriate grants.</x:v>
      </x:c>
      <x:c r="F14" s="10" t="str">
        <x:v>Every file has source ID, checksum and permitted routes.</x:v>
      </x:c>
      <x:c r="G14" s="10" t="str">
        <x:v>AWS 5 and 3</x:v>
      </x:c>
    </x:row>
    <x:row r="15" ht="105" customHeight="1">
      <x:c r="A15" s="9" t="str">
        <x:v>10</x:v>
      </x:c>
      <x:c r="B15" s="9" t="str">
        <x:v>C03 C04 C10</x:v>
      </x:c>
      <x:c r="C15" s="9" t="str">
        <x:v>Extract and normalize evidence</x:v>
      </x:c>
      <x:c r="D15" s="9" t="str">
        <x:v>Applied AI Engineer</x:v>
      </x:c>
      <x:c r="E15" s="9" t="str">
        <x:v>Run isolated CPU extraction/OCR workers; save ordered text/table JSONL and PNG images to the extracted prefix; verify units and critical values.</x:v>
      </x:c>
      <x:c r="F15" s="9" t="str">
        <x:v>Page/region citations and reviewable derivatives reconcile to originals.</x:v>
      </x:c>
      <x:c r="G15" s="9" t="str">
        <x:v>5 through 8</x:v>
      </x:c>
    </x:row>
    <x:row r="16" ht="105" customHeight="1">
      <x:c r="A16" s="10" t="str">
        <x:v>11</x:v>
      </x:c>
      <x:c r="B16" s="10" t="str">
        <x:v>D01 D02 D03</x:v>
      </x:c>
      <x:c r="C16" s="10" t="str">
        <x:v>Create the first 400 teaching examples</x:v>
      </x:c>
      <x:c r="D16" s="10" t="str">
        <x:v>Knowledge Engineer</x:v>
      </x:c>
      <x:c r="E16" s="10" t="str">
        <x:v>Build case families and split first; write 300 text and 100 visual prompt/completion examples with image paths and independent expert review.</x:v>
      </x:c>
      <x:c r="F16" s="10" t="str">
        <x:v>train_v0.jsonl plus image assets pass schema, rights, leakage and technical checks.</x:v>
      </x:c>
      <x:c r="G16" s="10" t="str">
        <x:v>9 and 10</x:v>
      </x:c>
    </x:row>
    <x:row r="17" ht="105" customHeight="1">
      <x:c r="A17" s="9" t="str">
        <x:v>12</x:v>
      </x:c>
      <x:c r="B17" s="9" t="str">
        <x:v>E01 E02 F01</x:v>
      </x:c>
      <x:c r="C17" s="9" t="str">
        <x:v>Establish retrieval and a measured baseline</x:v>
      </x:c>
      <x:c r="D17" s="9" t="str">
        <x:v>Applied AI Engineer</x:v>
      </x:c>
      <x:c r="E17" s="9" t="str">
        <x:v>Build permissioned chunks and indexes; run the unchanged foundation on dev questions both with and without retrieval; retain scores and answers.</x:v>
      </x:c>
      <x:c r="F17" s="9" t="str">
        <x:v>A measured comparison exists before domain fine-tuning.</x:v>
      </x:c>
      <x:c r="G17" s="9" t="str">
        <x:v>11 and 16</x:v>
      </x:c>
    </x:row>
    <x:row r="18" ht="105" customHeight="1">
      <x:c r="A18" s="10" t="str">
        <x:v>13</x:v>
      </x:c>
      <x:c r="B18" s="10" t="str">
        <x:v>F03 F04 F05 D06 D07</x:v>
      </x:c>
      <x:c r="C18" s="10" t="str">
        <x:v>Train the first adapter then expand data</x:v>
      </x:c>
      <x:c r="D18" s="10" t="str">
        <x:v>Applied AI Engineer</x:v>
      </x:c>
      <x:c r="E18" s="10" t="str">
        <x:v>Fine-tune a LoRA adapter on the initial released set; compare on dev; expand to 1500 text and 500 visual examples from the planned training families.</x:v>
      </x:c>
      <x:c r="F18" s="10" t="str">
        <x:v>Versioned dataset and adapter; expansion is justified by observed errors.</x:v>
      </x:c>
      <x:c r="G18" s="10" t="str">
        <x:v>13 and 14</x:v>
      </x:c>
    </x:row>
    <x:row r="19" ht="105" customHeight="1">
      <x:c r="A19" s="9" t="str">
        <x:v>14</x:v>
      </x:c>
      <x:c r="B19" s="9" t="str">
        <x:v>F08 H03 I01 I02 I06</x:v>
      </x:c>
      <x:c r="C19" s="9" t="str">
        <x:v>Evaluate and package the chosen model</x:v>
      </x:c>
      <x:c r="D19" s="9" t="str">
        <x:v>Technical Director</x:v>
      </x:c>
      <x:c r="E19" s="9" t="str">
        <x:v>Use untouched test families; review failures; package exact base revision, adapter, processor, runtime and retrieval-index revision.</x:v>
      </x:c>
      <x:c r="F19" s="9" t="str">
        <x:v>Independent acceptance evidence and reproducible release manifest.</x:v>
      </x:c>
      <x:c r="G19" s="9" t="str">
        <x:v>15 and 16</x:v>
      </x:c>
    </x:row>
    <x:row r="20" ht="105" customHeight="1">
      <x:c r="A20" s="10" t="str">
        <x:v>15</x:v>
      </x:c>
      <x:c r="B20" s="10" t="str">
        <x:v>H01 H02 H04 G4 J01 J02</x:v>
      </x:c>
      <x:c r="C20" s="10" t="str">
        <x:v>Deploy internally and pilot</x:v>
      </x:c>
      <x:c r="D20" s="10" t="str">
        <x:v>Head of Product and AI</x:v>
      </x:c>
      <x:c r="E20" s="10" t="str">
        <x:v>Deploy private authenticated service on separate AWS serving capacity; add source citations, logs, feedback, monitoring and rollback; run supervised internal briefs.</x:v>
      </x:c>
      <x:c r="F20" s="10" t="str">
        <x:v>Approved users can submit text/images; quality, latency, cost and corrections are measured.</x:v>
      </x:c>
      <x:c r="G20" s="10" t="str">
        <x:v>17 and 18</x:v>
      </x:c>
    </x:row>
  </x:sheetData>
  <x:pageMargins left="0.7" right="0.7" top="0.75" bottom="0.75" header="0.3" footer="0.3"/>
  <x:tableParts count="1">
    <x:tablePart xmlns:r="http://schemas.openxmlformats.org/officeDocument/2006/relationships" r:id="Rfaa9a24e4d2747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86" hidden="0" customWidth="1"/>
  </x:cols>
  <x:sheetData>
    <x:row r="1">
      <x:c r="A1" s="12" t="str">
        <x:v>Broadbridge multimodal implementation</x:v>
      </x:c>
      <x:c r="B1" s="11"/>
      <x:c r="C1" s="11"/>
      <x:c r="D1" s="11"/>
    </x:row>
    <x:row r="2">
      <x:c r="A2" s="11" t="str">
        <x:v>Read AWS start first then use this sheet to set the schedule</x:v>
      </x:c>
      <x:c r="B2" s="11"/>
      <x:c r="C2" s="11"/>
      <x:c r="D2" s="11"/>
    </x:row>
    <x:row r="3">
      <x:c r="A3" s="11"/>
      <x:c r="B3" s="11"/>
      <x:c r="C3" s="11"/>
      <x:c r="D3" s="11"/>
    </x:row>
    <x:row r="4" ht="28" customHeight="1">
      <x:c r="A4" s="14" t="str">
        <x:v>Input or result</x:v>
      </x:c>
      <x:c r="B4" s="14" t="str">
        <x:v>Value</x:v>
      </x:c>
      <x:c r="C4" s="14" t="str">
        <x:v>Meaning</x:v>
      </x:c>
      <x:c r="D4" s="11"/>
    </x:row>
    <x:row r="5" ht="48" customHeight="1">
      <x:c r="A5" s="26" t="str">
        <x:v>Approved kickoff</x:v>
      </x:c>
      <x:c r="B5" s="27"/>
      <x:c r="C5" s="26" t="str">
        <x:v>Enter an Excel date. Blank means relative working-day schedule only.</x:v>
      </x:c>
      <x:c r="D5" s="11"/>
    </x:row>
    <x:row r="6" ht="48" customHeight="1">
      <x:c r="A6" s="26" t="str">
        <x:v>Task count</x:v>
      </x:c>
      <x:c r="B6" s="28" t="n">
        <x:v>70</x:v>
      </x:c>
      <x:c r="C6" s="26" t="str">
        <x:v>Includes six delivery gates. Every status starts at Not started.</x:v>
      </x:c>
      <x:c r="D6" s="11"/>
    </x:row>
    <x:row r="7" ht="48" customHeight="1">
      <x:c r="A7" s="26" t="str">
        <x:v>Finish working day</x:v>
      </x:c>
      <x:c r="B7" s="28" t="n">
        <x:f>MAX('Tasks'!L6:L75)</x:f>
        <x:v>152</x:v>
      </x:c>
      <x:c r="C7" s="26" t="str">
        <x:v>Calculated from all task dependencies and resource-level baseline holds.</x:v>
      </x:c>
      <x:c r="D7" s="11"/>
    </x:row>
    <x:row r="8" ht="48" customHeight="1">
      <x:c r="A8" s="26" t="str">
        <x:v>Planned weeks</x:v>
      </x:c>
      <x:c r="B8" s="28" t="n">
        <x:f>ROUNDUP(B7/5,0)</x:f>
        <x:v>31</x:v>
      </x:c>
      <x:c r="C8" s="26" t="str">
        <x:v>Five working days per week; holidays excluded from this model.</x:v>
      </x:c>
      <x:c r="D8" s="11"/>
    </x:row>
    <x:row r="9" ht="48" customHeight="1">
      <x:c r="A9" s="26" t="str">
        <x:v>Earlier target weeks</x:v>
      </x:c>
      <x:c r="B9" s="28" t="n">
        <x:v>24</x:v>
      </x:c>
      <x:c r="C9" s="26" t="str">
        <x:v>Earlier CTO target. Detailed dependencies and resource reservations revise timing.</x:v>
      </x:c>
      <x:c r="D9" s="11"/>
    </x:row>
    <x:row r="10" ht="48" customHeight="1">
      <x:c r="A10" s="26" t="str">
        <x:v>Difference in weeks</x:v>
      </x:c>
      <x:c r="B10" s="28" t="n">
        <x:f>B8-B9</x:f>
        <x:v>7</x:v>
      </x:c>
      <x:c r="C10" s="26" t="str">
        <x:v>The earlier 24-week budget and eight-week first tranche must be rebaselined.</x:v>
      </x:c>
      <x:c r="D10" s="11"/>
    </x:row>
    <x:row r="11" ht="48" customHeight="1">
      <x:c r="A11" s="26" t="str">
        <x:v>Schedule buffer display</x:v>
      </x:c>
      <x:c r="B11" s="28" t="n">
        <x:v>36</x:v>
      </x:c>
      <x:c r="C11" s="26" t="str">
        <x:v>Gantt shows 36 weeks. If tasks extend past week 36, extend the displayed columns.</x:v>
      </x:c>
      <x:c r="D11" s="11"/>
    </x:row>
    <x:row r="12" ht="48" customHeight="1">
      <x:c r="A12" s="26" t="str">
        <x:v>Dates recalculated</x:v>
      </x:c>
      <x:c r="B12" s="29" t="str">
        <x:f>IF(B5="","",WORKDAY(B5-1,B7))</x:f>
      </x:c>
      <x:c r="C12" s="26" t="str">
        <x:v>Finish date stays blank until an approved kickoff is entered.</x:v>
      </x:c>
      <x:c r="D12" s="11"/>
    </x:row>
    <x:row r="13">
      <x:c r="A13" s="26"/>
      <x:c r="B13" s="26"/>
      <x:c r="C13" s="26"/>
      <x:c r="D13" s="11"/>
    </x:row>
    <x:row r="14">
      <x:c r="A14" s="26"/>
      <x:c r="B14" s="26"/>
      <x:c r="C14" s="26"/>
      <x:c r="D14" s="11"/>
    </x:row>
    <x:row r="15" ht="64" customHeight="1">
      <x:c r="A15" s="30" t="str">
        <x:v>How to use</x:v>
      </x:c>
      <x:c r="B15" s="26" t="str"/>
      <x:c r="C15" s="26" t="str">
        <x:v>Start on AWS start: provision EC2, download Qwen3.5-4B and run text/image inference. The AWS starter ZIP supplies reference scripts. Detailed format recipes follow in the runbook.</x:v>
      </x:c>
      <x:c r="D15" s="11"/>
    </x:row>
    <x:row r="16" ht="64" customHeight="1">
      <x:c r="A16" s="30" t="str">
        <x:v>Tasks</x:v>
      </x:c>
      <x:c r="B16" s="26" t="str"/>
      <x:c r="C16" s="26" t="str">
        <x:v>Edit amber task inputs for estimated duration, baseline hold day, predecessor IDs, effort, status and progress. Calculated dates and Gantt update. One day is a working day.</x:v>
      </x:c>
      <x:c r="D16" s="11"/>
    </x:row>
    <x:row r="17" ht="64" customHeight="1">
      <x:c r="A17" s="30" t="str">
        <x:v>Baseline logic</x:v>
      </x:c>
      <x:c r="B17" s="26" t="str"/>
      <x:c r="C17" s="26" t="str">
        <x:v>All predecessors are finish-to-start plus one working day. Baseline hold days include initial daily resource leveling. They are not promised dates.</x:v>
      </x:c>
      <x:c r="D17" s="11"/>
    </x:row>
    <x:row r="18" ht="64" customHeight="1">
      <x:c r="A18" s="30" t="str">
        <x:v>Resource availability</x:v>
      </x:c>
      <x:c r="B18" s="26" t="str"/>
      <x:c r="C18" s="26" t="str">
        <x:v>The initial schedule assumes a maximum 8 h/day per role and 24 h/day for a pooled expert/reviewer team. Confirm those peak reservations at mobilization.</x:v>
      </x:c>
      <x:c r="D18" s="11"/>
    </x:row>
    <x:row r="19" ht="64" customHeight="1">
      <x:c r="A19" s="30" t="str">
        <x:v>After edits</x:v>
      </x:c>
      <x:c r="B19" s="26" t="str"/>
      <x:c r="C19" s="26" t="str">
        <x:v>Dependencies recalculate, but resource leveling does not rerun automatically. Check Capacity and Weekly effort and move hold days to resolve conflicts. Holidays and absence calendars require a schedule update.</x:v>
      </x:c>
      <x:c r="D19" s="11"/>
    </x:row>
    <x:row r="20" ht="64" customHeight="1">
      <x:c r="A20" s="30" t="str">
        <x:v>Task detail</x:v>
      </x:c>
      <x:c r="B20" s="26" t="str"/>
      <x:c r="C20" s="26" t="str">
        <x:v>Inputs, steps, deliverable and acceptance check define completion. Paste evidence or blocker references in Tasks. A date passing never marks work complete.</x:v>
      </x:c>
      <x:c r="D20" s="11"/>
    </x:row>
    <x:row r="21" ht="64" customHeight="1">
      <x:c r="A21" s="30" t="str">
        <x:v>Source routing</x:v>
      </x:c>
      <x:c r="B21" s="26" t="str"/>
      <x:c r="C21" s="26" t="str">
        <x:v>All 51 prior source leads are mapped. Model weights, tool software, documents, datasets and catalog leads follow different routes. No source has been newly ingested by this plan.</x:v>
      </x:c>
      <x:c r="D21" s="11"/>
    </x:row>
    <x:row r="22" ht="64" customHeight="1">
      <x:c r="A22" s="30" t="str">
        <x:v>Formats</x:v>
      </x:c>
      <x:c r="B22" s="26" t="str"/>
      <x:c r="C22" s="26" t="str">
        <x:v>Raw PDF/DOCX/EML/audio/images become reviewed evidence JSONL. Retrieval gets chunks and vectors. SFT gets prompt/completion JSONL plus local images decoded by the loader.</x:v>
      </x:c>
      <x:c r="D22" s="11"/>
    </x:row>
    <x:row r="23" ht="64" customHeight="1">
      <x:c r="A23" s="30" t="str">
        <x:v>Model setup</x:v>
      </x:c>
      <x:c r="B23" s="26" t="str"/>
      <x:c r="C23" s="26" t="str">
        <x:v>Download a pinned Hugging Face model snapshot separately from data. Prove processor, mixed batches, loss masks, adapter updates and save/reload before substantive training.</x:v>
      </x:c>
      <x:c r="D23" s="11"/>
    </x:row>
    <x:row r="24" ht="64" customHeight="1">
      <x:c r="A24" s="30" t="str">
        <x:v>Budget</x:v>
      </x:c>
      <x:c r="B24" s="26" t="str"/>
      <x:c r="C24" s="26" t="str">
        <x:v>Task hours are bottom-up execution/review estimates, not full payroll cost. Capacity planning-hour inputs preserve the earlier envelope. Unassigned hours cover overhead and uncertainty, not automatically savings.</x:v>
      </x:c>
      <x:c r="D24" s="11"/>
    </x:row>
    <x:row r="25" ht="64" customHeight="1">
      <x:c r="A25" s="30" t="str">
        <x:v>Release boundary</x:v>
      </x:c>
      <x:c r="B25" s="26" t="str"/>
      <x:c r="C25" s="26" t="str">
        <x:v>Internal refining pilot only. Rights, technical acceptance and security acceptance are prerequisites. Expert candidates and licensing are unconfirmed.</x:v>
      </x:c>
      <x:c r="D25" s="11"/>
    </x:row>
    <x:row r="26" ht="64" customHeight="1">
      <x:c r="A26" s="30" t="str">
        <x:v>Legend</x:v>
      </x:c>
      <x:c r="B26" s="26" t="str"/>
      <x:c r="C26" s="26" t="str">
        <x:v>Amber = editable planning input. Blue Gantt bar = scheduled task. Darker bar = decision gate. Initial progress is zero. Original documents remain unchanged.</x:v>
      </x:c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49" hidden="0" customWidth="1"/>
    <x:col min="3" max="3" width="12" hidden="0" customWidth="1"/>
    <x:col min="4" max="4" width="11" hidden="0" customWidth="1"/>
    <x:col min="5" max="5" width="11" hidden="0" customWidth="1"/>
    <x:col min="6" max="6" width="17" hidden="0" customWidth="1"/>
    <x:col min="7" max="7" width="10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</x:cols>
  <x:sheetData>
    <x:row r="1" ht="27" customHeight="1">
      <x:c r="A1" s="2" t="str">
        <x:v>Implementation Gantt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8" customHeight="1">
      <x:c r="A2" s="3" t="str">
        <x:v>Relative weeks. Set kickoff on Start here for calendar dates. Planned bars are not completion claims.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</x:row>
    <x:row r="5" ht="38" customHeight="1">
      <x:c r="A5" s="7" t="str">
        <x:v>ID</x:v>
      </x:c>
      <x:c r="B5" s="7" t="str">
        <x:v>Task</x:v>
      </x:c>
      <x:c r="C5" s="7" t="str">
        <x:v>Owner</x:v>
      </x:c>
      <x:c r="D5" s="7" t="str">
        <x:v>Start week</x:v>
      </x:c>
      <x:c r="E5" s="7" t="str">
        <x:v>Finish week</x:v>
      </x:c>
      <x:c r="F5" s="7" t="str">
        <x:v>Status</x:v>
      </x:c>
      <x:c r="G5" s="7" t="str">
        <x:v>Complete</x:v>
      </x:c>
      <x:c r="H5" s="7" t="n">
        <x:v>1</x:v>
      </x:c>
      <x:c r="I5" s="7" t="n">
        <x:v>2</x:v>
      </x:c>
      <x:c r="J5" s="7" t="n">
        <x:v>3</x:v>
      </x:c>
      <x:c r="K5" s="7" t="n">
        <x:v>4</x:v>
      </x:c>
      <x:c r="L5" s="7" t="n">
        <x:v>5</x:v>
      </x:c>
      <x:c r="M5" s="7" t="n">
        <x:v>6</x:v>
      </x:c>
      <x:c r="N5" s="7" t="n">
        <x:v>7</x:v>
      </x:c>
      <x:c r="O5" s="7" t="n">
        <x:v>8</x:v>
      </x:c>
      <x:c r="P5" s="7" t="n">
        <x:v>9</x:v>
      </x:c>
      <x:c r="Q5" s="7" t="n">
        <x:v>10</x:v>
      </x:c>
      <x:c r="R5" s="7" t="n">
        <x:v>11</x:v>
      </x:c>
      <x:c r="S5" s="7" t="n">
        <x:v>12</x:v>
      </x:c>
      <x:c r="T5" s="7" t="n">
        <x:v>13</x:v>
      </x:c>
      <x:c r="U5" s="7" t="n">
        <x:v>14</x:v>
      </x:c>
      <x:c r="V5" s="7" t="n">
        <x:v>15</x:v>
      </x:c>
      <x:c r="W5" s="7" t="n">
        <x:v>16</x:v>
      </x:c>
      <x:c r="X5" s="7" t="n">
        <x:v>17</x:v>
      </x:c>
      <x:c r="Y5" s="7" t="n">
        <x:v>18</x:v>
      </x:c>
      <x:c r="Z5" s="7" t="n">
        <x:v>19</x:v>
      </x:c>
      <x:c r="AA5" s="7" t="n">
        <x:v>20</x:v>
      </x:c>
      <x:c r="AB5" s="7" t="n">
        <x:v>21</x:v>
      </x:c>
      <x:c r="AC5" s="7" t="n">
        <x:v>22</x:v>
      </x:c>
      <x:c r="AD5" s="7" t="n">
        <x:v>23</x:v>
      </x:c>
      <x:c r="AE5" s="7" t="n">
        <x:v>24</x:v>
      </x:c>
      <x:c r="AF5" s="7" t="n">
        <x:v>25</x:v>
      </x:c>
      <x:c r="AG5" s="7" t="n">
        <x:v>26</x:v>
      </x:c>
      <x:c r="AH5" s="7" t="n">
        <x:v>27</x:v>
      </x:c>
      <x:c r="AI5" s="7" t="n">
        <x:v>28</x:v>
      </x:c>
      <x:c r="AJ5" s="7" t="n">
        <x:v>29</x:v>
      </x:c>
      <x:c r="AK5" s="7" t="n">
        <x:v>30</x:v>
      </x:c>
      <x:c r="AL5" s="7" t="n">
        <x:v>31</x:v>
      </x:c>
      <x:c r="AM5" s="7" t="n">
        <x:v>32</x:v>
      </x:c>
      <x:c r="AN5" s="7" t="n">
        <x:v>33</x:v>
      </x:c>
      <x:c r="AO5" s="7" t="n">
        <x:v>34</x:v>
      </x:c>
      <x:c r="AP5" s="7" t="n">
        <x:v>35</x:v>
      </x:c>
      <x:c r="AQ5" s="7" t="n">
        <x:v>36</x:v>
      </x:c>
    </x:row>
    <x:row r="6" ht="38" customHeight="1">
      <x:c r="A6" s="10" t="str">
        <x:v>B01</x:v>
      </x:c>
      <x:c r="B6" s="10" t="str">
        <x:v>Launch AWS GPU workspace and private S3 stores</x:v>
      </x:c>
      <x:c r="C6" s="10" t="str">
        <x:v>OPS</x:v>
      </x:c>
      <x:c r="D6" s="10" t="n">
        <x:f>ROUNDUP('Tasks'!K6/5,0)</x:f>
        <x:v>1</x:v>
      </x:c>
      <x:c r="E6" s="10" t="n">
        <x:f>ROUNDUP('Tasks'!L6/5,0)</x:f>
        <x:v>1</x:v>
      </x:c>
      <x:c r="F6" s="10" t="str">
        <x:f>'Tasks'!R6</x:f>
        <x:v>Not started</x:v>
      </x:c>
      <x:c r="G6" s="35" t="n">
        <x:f>'Tasks'!S6</x:f>
        <x:v>0</x:v>
      </x:c>
      <x:c r="H6" s="36" t="n">
        <x:f>IF(AND(H$5&gt;=$D6,H$5&lt;=$E6),1,0)</x:f>
        <x:v>1</x:v>
      </x:c>
      <x:c r="I6" s="36" t="n">
        <x:f>IF(AND(I$5&gt;=$D6,I$5&lt;=$E6),1,0)</x:f>
        <x:v>0</x:v>
      </x:c>
      <x:c r="J6" s="36" t="n">
        <x:f>IF(AND(J$5&gt;=$D6,J$5&lt;=$E6),1,0)</x:f>
        <x:v>0</x:v>
      </x:c>
      <x:c r="K6" s="36" t="n">
        <x:f>IF(AND(K$5&gt;=$D6,K$5&lt;=$E6),1,0)</x:f>
        <x:v>0</x:v>
      </x:c>
      <x:c r="L6" s="36" t="n">
        <x:f>IF(AND(L$5&gt;=$D6,L$5&lt;=$E6),1,0)</x:f>
        <x:v>0</x:v>
      </x:c>
      <x:c r="M6" s="36" t="n">
        <x:f>IF(AND(M$5&gt;=$D6,M$5&lt;=$E6),1,0)</x:f>
        <x:v>0</x:v>
      </x:c>
      <x:c r="N6" s="36" t="n">
        <x:f>IF(AND(N$5&gt;=$D6,N$5&lt;=$E6),1,0)</x:f>
        <x:v>0</x:v>
      </x:c>
      <x:c r="O6" s="36" t="n">
        <x:f>IF(AND(O$5&gt;=$D6,O$5&lt;=$E6),1,0)</x:f>
        <x:v>0</x:v>
      </x:c>
      <x:c r="P6" s="36" t="n">
        <x:f>IF(AND(P$5&gt;=$D6,P$5&lt;=$E6),1,0)</x:f>
        <x:v>0</x:v>
      </x:c>
      <x:c r="Q6" s="36" t="n">
        <x:f>IF(AND(Q$5&gt;=$D6,Q$5&lt;=$E6),1,0)</x:f>
        <x:v>0</x:v>
      </x:c>
      <x:c r="R6" s="36" t="n">
        <x:f>IF(AND(R$5&gt;=$D6,R$5&lt;=$E6),1,0)</x:f>
        <x:v>0</x:v>
      </x:c>
      <x:c r="S6" s="36" t="n">
        <x:f>IF(AND(S$5&gt;=$D6,S$5&lt;=$E6),1,0)</x:f>
        <x:v>0</x:v>
      </x:c>
      <x:c r="T6" s="36" t="n">
        <x:f>IF(AND(T$5&gt;=$D6,T$5&lt;=$E6),1,0)</x:f>
        <x:v>0</x:v>
      </x:c>
      <x:c r="U6" s="36" t="n">
        <x:f>IF(AND(U$5&gt;=$D6,U$5&lt;=$E6),1,0)</x:f>
        <x:v>0</x:v>
      </x:c>
      <x:c r="V6" s="36" t="n">
        <x:f>IF(AND(V$5&gt;=$D6,V$5&lt;=$E6),1,0)</x:f>
        <x:v>0</x:v>
      </x:c>
      <x:c r="W6" s="36" t="n">
        <x:f>IF(AND(W$5&gt;=$D6,W$5&lt;=$E6),1,0)</x:f>
        <x:v>0</x:v>
      </x:c>
      <x:c r="X6" s="36" t="n">
        <x:f>IF(AND(X$5&gt;=$D6,X$5&lt;=$E6),1,0)</x:f>
        <x:v>0</x:v>
      </x:c>
      <x:c r="Y6" s="36" t="n">
        <x:f>IF(AND(Y$5&gt;=$D6,Y$5&lt;=$E6),1,0)</x:f>
        <x:v>0</x:v>
      </x:c>
      <x:c r="Z6" s="36" t="n">
        <x:f>IF(AND(Z$5&gt;=$D6,Z$5&lt;=$E6),1,0)</x:f>
        <x:v>0</x:v>
      </x:c>
      <x:c r="AA6" s="36" t="n">
        <x:f>IF(AND(AA$5&gt;=$D6,AA$5&lt;=$E6),1,0)</x:f>
        <x:v>0</x:v>
      </x:c>
      <x:c r="AB6" s="36" t="n">
        <x:f>IF(AND(AB$5&gt;=$D6,AB$5&lt;=$E6),1,0)</x:f>
        <x:v>0</x:v>
      </x:c>
      <x:c r="AC6" s="36" t="n">
        <x:f>IF(AND(AC$5&gt;=$D6,AC$5&lt;=$E6),1,0)</x:f>
        <x:v>0</x:v>
      </x:c>
      <x:c r="AD6" s="36" t="n">
        <x:f>IF(AND(AD$5&gt;=$D6,AD$5&lt;=$E6),1,0)</x:f>
        <x:v>0</x:v>
      </x:c>
      <x:c r="AE6" s="36" t="n">
        <x:f>IF(AND(AE$5&gt;=$D6,AE$5&lt;=$E6),1,0)</x:f>
        <x:v>0</x:v>
      </x:c>
      <x:c r="AF6" s="36" t="n">
        <x:f>IF(AND(AF$5&gt;=$D6,AF$5&lt;=$E6),1,0)</x:f>
        <x:v>0</x:v>
      </x:c>
      <x:c r="AG6" s="36" t="n">
        <x:f>IF(AND(AG$5&gt;=$D6,AG$5&lt;=$E6),1,0)</x:f>
        <x:v>0</x:v>
      </x:c>
      <x:c r="AH6" s="36" t="n">
        <x:f>IF(AND(AH$5&gt;=$D6,AH$5&lt;=$E6),1,0)</x:f>
        <x:v>0</x:v>
      </x:c>
      <x:c r="AI6" s="36" t="n">
        <x:f>IF(AND(AI$5&gt;=$D6,AI$5&lt;=$E6),1,0)</x:f>
        <x:v>0</x:v>
      </x:c>
      <x:c r="AJ6" s="36" t="n">
        <x:f>IF(AND(AJ$5&gt;=$D6,AJ$5&lt;=$E6),1,0)</x:f>
        <x:v>0</x:v>
      </x:c>
      <x:c r="AK6" s="36" t="n">
        <x:f>IF(AND(AK$5&gt;=$D6,AK$5&lt;=$E6),1,0)</x:f>
        <x:v>0</x:v>
      </x:c>
      <x:c r="AL6" s="36" t="n">
        <x:f>IF(AND(AL$5&gt;=$D6,AL$5&lt;=$E6),1,0)</x:f>
        <x:v>0</x:v>
      </x:c>
      <x:c r="AM6" s="36" t="n">
        <x:f>IF(AND(AM$5&gt;=$D6,AM$5&lt;=$E6),1,0)</x:f>
        <x:v>0</x:v>
      </x:c>
      <x:c r="AN6" s="36" t="n">
        <x:f>IF(AND(AN$5&gt;=$D6,AN$5&lt;=$E6),1,0)</x:f>
        <x:v>0</x:v>
      </x:c>
      <x:c r="AO6" s="36" t="n">
        <x:f>IF(AND(AO$5&gt;=$D6,AO$5&lt;=$E6),1,0)</x:f>
        <x:v>0</x:v>
      </x:c>
      <x:c r="AP6" s="36" t="n">
        <x:f>IF(AND(AP$5&gt;=$D6,AP$5&lt;=$E6),1,0)</x:f>
        <x:v>0</x:v>
      </x:c>
      <x:c r="AQ6" s="36" t="n">
        <x:f>IF(AND(AQ$5&gt;=$D6,AQ$5&lt;=$E6),1,0)</x:f>
        <x:v>0</x:v>
      </x:c>
    </x:row>
    <x:row r="7" ht="38" customHeight="1">
      <x:c r="A7" s="9" t="str">
        <x:v>B02</x:v>
      </x:c>
      <x:c r="B7" s="9" t="str">
        <x:v>Prepare PyTorch environment on AWS GPU host</x:v>
      </x:c>
      <x:c r="C7" s="9" t="str">
        <x:v>AI</x:v>
      </x:c>
      <x:c r="D7" s="9" t="n">
        <x:f>ROUNDUP('Tasks'!K7/5,0)</x:f>
        <x:v>1</x:v>
      </x:c>
      <x:c r="E7" s="9" t="n">
        <x:f>ROUNDUP('Tasks'!L7/5,0)</x:f>
        <x:v>1</x:v>
      </x:c>
      <x:c r="F7" s="9" t="str">
        <x:f>'Tasks'!R7</x:f>
        <x:v>Not started</x:v>
      </x:c>
      <x:c r="G7" s="37" t="n">
        <x:f>'Tasks'!S7</x:f>
        <x:v>0</x:v>
      </x:c>
      <x:c r="H7" s="38" t="n">
        <x:f>IF(AND(H$5&gt;=$D7,H$5&lt;=$E7),1,0)</x:f>
        <x:v>1</x:v>
      </x:c>
      <x:c r="I7" s="38" t="n">
        <x:f>IF(AND(I$5&gt;=$D7,I$5&lt;=$E7),1,0)</x:f>
        <x:v>0</x:v>
      </x:c>
      <x:c r="J7" s="38" t="n">
        <x:f>IF(AND(J$5&gt;=$D7,J$5&lt;=$E7),1,0)</x:f>
        <x:v>0</x:v>
      </x:c>
      <x:c r="K7" s="38" t="n">
        <x:f>IF(AND(K$5&gt;=$D7,K$5&lt;=$E7),1,0)</x:f>
        <x:v>0</x:v>
      </x:c>
      <x:c r="L7" s="38" t="n">
        <x:f>IF(AND(L$5&gt;=$D7,L$5&lt;=$E7),1,0)</x:f>
        <x:v>0</x:v>
      </x:c>
      <x:c r="M7" s="38" t="n">
        <x:f>IF(AND(M$5&gt;=$D7,M$5&lt;=$E7),1,0)</x:f>
        <x:v>0</x:v>
      </x:c>
      <x:c r="N7" s="38" t="n">
        <x:f>IF(AND(N$5&gt;=$D7,N$5&lt;=$E7),1,0)</x:f>
        <x:v>0</x:v>
      </x:c>
      <x:c r="O7" s="38" t="n">
        <x:f>IF(AND(O$5&gt;=$D7,O$5&lt;=$E7),1,0)</x:f>
        <x:v>0</x:v>
      </x:c>
      <x:c r="P7" s="38" t="n">
        <x:f>IF(AND(P$5&gt;=$D7,P$5&lt;=$E7),1,0)</x:f>
        <x:v>0</x:v>
      </x:c>
      <x:c r="Q7" s="38" t="n">
        <x:f>IF(AND(Q$5&gt;=$D7,Q$5&lt;=$E7),1,0)</x:f>
        <x:v>0</x:v>
      </x:c>
      <x:c r="R7" s="38" t="n">
        <x:f>IF(AND(R$5&gt;=$D7,R$5&lt;=$E7),1,0)</x:f>
        <x:v>0</x:v>
      </x:c>
      <x:c r="S7" s="38" t="n">
        <x:f>IF(AND(S$5&gt;=$D7,S$5&lt;=$E7),1,0)</x:f>
        <x:v>0</x:v>
      </x:c>
      <x:c r="T7" s="38" t="n">
        <x:f>IF(AND(T$5&gt;=$D7,T$5&lt;=$E7),1,0)</x:f>
        <x:v>0</x:v>
      </x:c>
      <x:c r="U7" s="38" t="n">
        <x:f>IF(AND(U$5&gt;=$D7,U$5&lt;=$E7),1,0)</x:f>
        <x:v>0</x:v>
      </x:c>
      <x:c r="V7" s="38" t="n">
        <x:f>IF(AND(V$5&gt;=$D7,V$5&lt;=$E7),1,0)</x:f>
        <x:v>0</x:v>
      </x:c>
      <x:c r="W7" s="38" t="n">
        <x:f>IF(AND(W$5&gt;=$D7,W$5&lt;=$E7),1,0)</x:f>
        <x:v>0</x:v>
      </x:c>
      <x:c r="X7" s="38" t="n">
        <x:f>IF(AND(X$5&gt;=$D7,X$5&lt;=$E7),1,0)</x:f>
        <x:v>0</x:v>
      </x:c>
      <x:c r="Y7" s="38" t="n">
        <x:f>IF(AND(Y$5&gt;=$D7,Y$5&lt;=$E7),1,0)</x:f>
        <x:v>0</x:v>
      </x:c>
      <x:c r="Z7" s="38" t="n">
        <x:f>IF(AND(Z$5&gt;=$D7,Z$5&lt;=$E7),1,0)</x:f>
        <x:v>0</x:v>
      </x:c>
      <x:c r="AA7" s="38" t="n">
        <x:f>IF(AND(AA$5&gt;=$D7,AA$5&lt;=$E7),1,0)</x:f>
        <x:v>0</x:v>
      </x:c>
      <x:c r="AB7" s="38" t="n">
        <x:f>IF(AND(AB$5&gt;=$D7,AB$5&lt;=$E7),1,0)</x:f>
        <x:v>0</x:v>
      </x:c>
      <x:c r="AC7" s="38" t="n">
        <x:f>IF(AND(AC$5&gt;=$D7,AC$5&lt;=$E7),1,0)</x:f>
        <x:v>0</x:v>
      </x:c>
      <x:c r="AD7" s="38" t="n">
        <x:f>IF(AND(AD$5&gt;=$D7,AD$5&lt;=$E7),1,0)</x:f>
        <x:v>0</x:v>
      </x:c>
      <x:c r="AE7" s="38" t="n">
        <x:f>IF(AND(AE$5&gt;=$D7,AE$5&lt;=$E7),1,0)</x:f>
        <x:v>0</x:v>
      </x:c>
      <x:c r="AF7" s="38" t="n">
        <x:f>IF(AND(AF$5&gt;=$D7,AF$5&lt;=$E7),1,0)</x:f>
        <x:v>0</x:v>
      </x:c>
      <x:c r="AG7" s="38" t="n">
        <x:f>IF(AND(AG$5&gt;=$D7,AG$5&lt;=$E7),1,0)</x:f>
        <x:v>0</x:v>
      </x:c>
      <x:c r="AH7" s="38" t="n">
        <x:f>IF(AND(AH$5&gt;=$D7,AH$5&lt;=$E7),1,0)</x:f>
        <x:v>0</x:v>
      </x:c>
      <x:c r="AI7" s="38" t="n">
        <x:f>IF(AND(AI$5&gt;=$D7,AI$5&lt;=$E7),1,0)</x:f>
        <x:v>0</x:v>
      </x:c>
      <x:c r="AJ7" s="38" t="n">
        <x:f>IF(AND(AJ$5&gt;=$D7,AJ$5&lt;=$E7),1,0)</x:f>
        <x:v>0</x:v>
      </x:c>
      <x:c r="AK7" s="38" t="n">
        <x:f>IF(AND(AK$5&gt;=$D7,AK$5&lt;=$E7),1,0)</x:f>
        <x:v>0</x:v>
      </x:c>
      <x:c r="AL7" s="38" t="n">
        <x:f>IF(AND(AL$5&gt;=$D7,AL$5&lt;=$E7),1,0)</x:f>
        <x:v>0</x:v>
      </x:c>
      <x:c r="AM7" s="38" t="n">
        <x:f>IF(AND(AM$5&gt;=$D7,AM$5&lt;=$E7),1,0)</x:f>
        <x:v>0</x:v>
      </x:c>
      <x:c r="AN7" s="38" t="n">
        <x:f>IF(AND(AN$5&gt;=$D7,AN$5&lt;=$E7),1,0)</x:f>
        <x:v>0</x:v>
      </x:c>
      <x:c r="AO7" s="38" t="n">
        <x:f>IF(AND(AO$5&gt;=$D7,AO$5&lt;=$E7),1,0)</x:f>
        <x:v>0</x:v>
      </x:c>
      <x:c r="AP7" s="38" t="n">
        <x:f>IF(AND(AP$5&gt;=$D7,AP$5&lt;=$E7),1,0)</x:f>
        <x:v>0</x:v>
      </x:c>
      <x:c r="AQ7" s="38" t="n">
        <x:f>IF(AND(AQ$5&gt;=$D7,AQ$5&lt;=$E7),1,0)</x:f>
        <x:v>0</x:v>
      </x:c>
    </x:row>
    <x:row r="8" ht="38" customHeight="1">
      <x:c r="A8" s="10" t="str">
        <x:v>B03</x:v>
      </x:c>
      <x:c r="B8" s="10" t="str">
        <x:v>Pin the Hugging Face foundation model revision</x:v>
      </x:c>
      <x:c r="C8" s="10" t="str">
        <x:v>HP</x:v>
      </x:c>
      <x:c r="D8" s="10" t="n">
        <x:f>ROUNDUP('Tasks'!K8/5,0)</x:f>
        <x:v>1</x:v>
      </x:c>
      <x:c r="E8" s="10" t="n">
        <x:f>ROUNDUP('Tasks'!L8/5,0)</x:f>
        <x:v>1</x:v>
      </x:c>
      <x:c r="F8" s="10" t="str">
        <x:f>'Tasks'!R8</x:f>
        <x:v>Not started</x:v>
      </x:c>
      <x:c r="G8" s="35" t="n">
        <x:f>'Tasks'!S8</x:f>
        <x:v>0</x:v>
      </x:c>
      <x:c r="H8" s="36" t="n">
        <x:f>IF(AND(H$5&gt;=$D8,H$5&lt;=$E8),1,0)</x:f>
        <x:v>1</x:v>
      </x:c>
      <x:c r="I8" s="36" t="n">
        <x:f>IF(AND(I$5&gt;=$D8,I$5&lt;=$E8),1,0)</x:f>
        <x:v>0</x:v>
      </x:c>
      <x:c r="J8" s="36" t="n">
        <x:f>IF(AND(J$5&gt;=$D8,J$5&lt;=$E8),1,0)</x:f>
        <x:v>0</x:v>
      </x:c>
      <x:c r="K8" s="36" t="n">
        <x:f>IF(AND(K$5&gt;=$D8,K$5&lt;=$E8),1,0)</x:f>
        <x:v>0</x:v>
      </x:c>
      <x:c r="L8" s="36" t="n">
        <x:f>IF(AND(L$5&gt;=$D8,L$5&lt;=$E8),1,0)</x:f>
        <x:v>0</x:v>
      </x:c>
      <x:c r="M8" s="36" t="n">
        <x:f>IF(AND(M$5&gt;=$D8,M$5&lt;=$E8),1,0)</x:f>
        <x:v>0</x:v>
      </x:c>
      <x:c r="N8" s="36" t="n">
        <x:f>IF(AND(N$5&gt;=$D8,N$5&lt;=$E8),1,0)</x:f>
        <x:v>0</x:v>
      </x:c>
      <x:c r="O8" s="36" t="n">
        <x:f>IF(AND(O$5&gt;=$D8,O$5&lt;=$E8),1,0)</x:f>
        <x:v>0</x:v>
      </x:c>
      <x:c r="P8" s="36" t="n">
        <x:f>IF(AND(P$5&gt;=$D8,P$5&lt;=$E8),1,0)</x:f>
        <x:v>0</x:v>
      </x:c>
      <x:c r="Q8" s="36" t="n">
        <x:f>IF(AND(Q$5&gt;=$D8,Q$5&lt;=$E8),1,0)</x:f>
        <x:v>0</x:v>
      </x:c>
      <x:c r="R8" s="36" t="n">
        <x:f>IF(AND(R$5&gt;=$D8,R$5&lt;=$E8),1,0)</x:f>
        <x:v>0</x:v>
      </x:c>
      <x:c r="S8" s="36" t="n">
        <x:f>IF(AND(S$5&gt;=$D8,S$5&lt;=$E8),1,0)</x:f>
        <x:v>0</x:v>
      </x:c>
      <x:c r="T8" s="36" t="n">
        <x:f>IF(AND(T$5&gt;=$D8,T$5&lt;=$E8),1,0)</x:f>
        <x:v>0</x:v>
      </x:c>
      <x:c r="U8" s="36" t="n">
        <x:f>IF(AND(U$5&gt;=$D8,U$5&lt;=$E8),1,0)</x:f>
        <x:v>0</x:v>
      </x:c>
      <x:c r="V8" s="36" t="n">
        <x:f>IF(AND(V$5&gt;=$D8,V$5&lt;=$E8),1,0)</x:f>
        <x:v>0</x:v>
      </x:c>
      <x:c r="W8" s="36" t="n">
        <x:f>IF(AND(W$5&gt;=$D8,W$5&lt;=$E8),1,0)</x:f>
        <x:v>0</x:v>
      </x:c>
      <x:c r="X8" s="36" t="n">
        <x:f>IF(AND(X$5&gt;=$D8,X$5&lt;=$E8),1,0)</x:f>
        <x:v>0</x:v>
      </x:c>
      <x:c r="Y8" s="36" t="n">
        <x:f>IF(AND(Y$5&gt;=$D8,Y$5&lt;=$E8),1,0)</x:f>
        <x:v>0</x:v>
      </x:c>
      <x:c r="Z8" s="36" t="n">
        <x:f>IF(AND(Z$5&gt;=$D8,Z$5&lt;=$E8),1,0)</x:f>
        <x:v>0</x:v>
      </x:c>
      <x:c r="AA8" s="36" t="n">
        <x:f>IF(AND(AA$5&gt;=$D8,AA$5&lt;=$E8),1,0)</x:f>
        <x:v>0</x:v>
      </x:c>
      <x:c r="AB8" s="36" t="n">
        <x:f>IF(AND(AB$5&gt;=$D8,AB$5&lt;=$E8),1,0)</x:f>
        <x:v>0</x:v>
      </x:c>
      <x:c r="AC8" s="36" t="n">
        <x:f>IF(AND(AC$5&gt;=$D8,AC$5&lt;=$E8),1,0)</x:f>
        <x:v>0</x:v>
      </x:c>
      <x:c r="AD8" s="36" t="n">
        <x:f>IF(AND(AD$5&gt;=$D8,AD$5&lt;=$E8),1,0)</x:f>
        <x:v>0</x:v>
      </x:c>
      <x:c r="AE8" s="36" t="n">
        <x:f>IF(AND(AE$5&gt;=$D8,AE$5&lt;=$E8),1,0)</x:f>
        <x:v>0</x:v>
      </x:c>
      <x:c r="AF8" s="36" t="n">
        <x:f>IF(AND(AF$5&gt;=$D8,AF$5&lt;=$E8),1,0)</x:f>
        <x:v>0</x:v>
      </x:c>
      <x:c r="AG8" s="36" t="n">
        <x:f>IF(AND(AG$5&gt;=$D8,AG$5&lt;=$E8),1,0)</x:f>
        <x:v>0</x:v>
      </x:c>
      <x:c r="AH8" s="36" t="n">
        <x:f>IF(AND(AH$5&gt;=$D8,AH$5&lt;=$E8),1,0)</x:f>
        <x:v>0</x:v>
      </x:c>
      <x:c r="AI8" s="36" t="n">
        <x:f>IF(AND(AI$5&gt;=$D8,AI$5&lt;=$E8),1,0)</x:f>
        <x:v>0</x:v>
      </x:c>
      <x:c r="AJ8" s="36" t="n">
        <x:f>IF(AND(AJ$5&gt;=$D8,AJ$5&lt;=$E8),1,0)</x:f>
        <x:v>0</x:v>
      </x:c>
      <x:c r="AK8" s="36" t="n">
        <x:f>IF(AND(AK$5&gt;=$D8,AK$5&lt;=$E8),1,0)</x:f>
        <x:v>0</x:v>
      </x:c>
      <x:c r="AL8" s="36" t="n">
        <x:f>IF(AND(AL$5&gt;=$D8,AL$5&lt;=$E8),1,0)</x:f>
        <x:v>0</x:v>
      </x:c>
      <x:c r="AM8" s="36" t="n">
        <x:f>IF(AND(AM$5&gt;=$D8,AM$5&lt;=$E8),1,0)</x:f>
        <x:v>0</x:v>
      </x:c>
      <x:c r="AN8" s="36" t="n">
        <x:f>IF(AND(AN$5&gt;=$D8,AN$5&lt;=$E8),1,0)</x:f>
        <x:v>0</x:v>
      </x:c>
      <x:c r="AO8" s="36" t="n">
        <x:f>IF(AND(AO$5&gt;=$D8,AO$5&lt;=$E8),1,0)</x:f>
        <x:v>0</x:v>
      </x:c>
      <x:c r="AP8" s="36" t="n">
        <x:f>IF(AND(AP$5&gt;=$D8,AP$5&lt;=$E8),1,0)</x:f>
        <x:v>0</x:v>
      </x:c>
      <x:c r="AQ8" s="36" t="n">
        <x:f>IF(AND(AQ$5&gt;=$D8,AQ$5&lt;=$E8),1,0)</x:f>
        <x:v>0</x:v>
      </x:c>
    </x:row>
    <x:row r="9" ht="38" customHeight="1">
      <x:c r="A9" s="9" t="str">
        <x:v>B04</x:v>
      </x:c>
      <x:c r="B9" s="9" t="str">
        <x:v>Download Qwen3.5 weights into AWS and archive in S3</x:v>
      </x:c>
      <x:c r="C9" s="9" t="str">
        <x:v>AI</x:v>
      </x:c>
      <x:c r="D9" s="9" t="n">
        <x:f>ROUNDUP('Tasks'!K9/5,0)</x:f>
        <x:v>2</x:v>
      </x:c>
      <x:c r="E9" s="9" t="n">
        <x:f>ROUNDUP('Tasks'!L9/5,0)</x:f>
        <x:v>2</x:v>
      </x:c>
      <x:c r="F9" s="9" t="str">
        <x:f>'Tasks'!R9</x:f>
        <x:v>Not started</x:v>
      </x:c>
      <x:c r="G9" s="37" t="n">
        <x:f>'Tasks'!S9</x:f>
        <x:v>0</x:v>
      </x:c>
      <x:c r="H9" s="38" t="n">
        <x:f>IF(AND(H$5&gt;=$D9,H$5&lt;=$E9),1,0)</x:f>
        <x:v>0</x:v>
      </x:c>
      <x:c r="I9" s="38" t="n">
        <x:f>IF(AND(I$5&gt;=$D9,I$5&lt;=$E9),1,0)</x:f>
        <x:v>1</x:v>
      </x:c>
      <x:c r="J9" s="38" t="n">
        <x:f>IF(AND(J$5&gt;=$D9,J$5&lt;=$E9),1,0)</x:f>
        <x:v>0</x:v>
      </x:c>
      <x:c r="K9" s="38" t="n">
        <x:f>IF(AND(K$5&gt;=$D9,K$5&lt;=$E9),1,0)</x:f>
        <x:v>0</x:v>
      </x:c>
      <x:c r="L9" s="38" t="n">
        <x:f>IF(AND(L$5&gt;=$D9,L$5&lt;=$E9),1,0)</x:f>
        <x:v>0</x:v>
      </x:c>
      <x:c r="M9" s="38" t="n">
        <x:f>IF(AND(M$5&gt;=$D9,M$5&lt;=$E9),1,0)</x:f>
        <x:v>0</x:v>
      </x:c>
      <x:c r="N9" s="38" t="n">
        <x:f>IF(AND(N$5&gt;=$D9,N$5&lt;=$E9),1,0)</x:f>
        <x:v>0</x:v>
      </x:c>
      <x:c r="O9" s="38" t="n">
        <x:f>IF(AND(O$5&gt;=$D9,O$5&lt;=$E9),1,0)</x:f>
        <x:v>0</x:v>
      </x:c>
      <x:c r="P9" s="38" t="n">
        <x:f>IF(AND(P$5&gt;=$D9,P$5&lt;=$E9),1,0)</x:f>
        <x:v>0</x:v>
      </x:c>
      <x:c r="Q9" s="38" t="n">
        <x:f>IF(AND(Q$5&gt;=$D9,Q$5&lt;=$E9),1,0)</x:f>
        <x:v>0</x:v>
      </x:c>
      <x:c r="R9" s="38" t="n">
        <x:f>IF(AND(R$5&gt;=$D9,R$5&lt;=$E9),1,0)</x:f>
        <x:v>0</x:v>
      </x:c>
      <x:c r="S9" s="38" t="n">
        <x:f>IF(AND(S$5&gt;=$D9,S$5&lt;=$E9),1,0)</x:f>
        <x:v>0</x:v>
      </x:c>
      <x:c r="T9" s="38" t="n">
        <x:f>IF(AND(T$5&gt;=$D9,T$5&lt;=$E9),1,0)</x:f>
        <x:v>0</x:v>
      </x:c>
      <x:c r="U9" s="38" t="n">
        <x:f>IF(AND(U$5&gt;=$D9,U$5&lt;=$E9),1,0)</x:f>
        <x:v>0</x:v>
      </x:c>
      <x:c r="V9" s="38" t="n">
        <x:f>IF(AND(V$5&gt;=$D9,V$5&lt;=$E9),1,0)</x:f>
        <x:v>0</x:v>
      </x:c>
      <x:c r="W9" s="38" t="n">
        <x:f>IF(AND(W$5&gt;=$D9,W$5&lt;=$E9),1,0)</x:f>
        <x:v>0</x:v>
      </x:c>
      <x:c r="X9" s="38" t="n">
        <x:f>IF(AND(X$5&gt;=$D9,X$5&lt;=$E9),1,0)</x:f>
        <x:v>0</x:v>
      </x:c>
      <x:c r="Y9" s="38" t="n">
        <x:f>IF(AND(Y$5&gt;=$D9,Y$5&lt;=$E9),1,0)</x:f>
        <x:v>0</x:v>
      </x:c>
      <x:c r="Z9" s="38" t="n">
        <x:f>IF(AND(Z$5&gt;=$D9,Z$5&lt;=$E9),1,0)</x:f>
        <x:v>0</x:v>
      </x:c>
      <x:c r="AA9" s="38" t="n">
        <x:f>IF(AND(AA$5&gt;=$D9,AA$5&lt;=$E9),1,0)</x:f>
        <x:v>0</x:v>
      </x:c>
      <x:c r="AB9" s="38" t="n">
        <x:f>IF(AND(AB$5&gt;=$D9,AB$5&lt;=$E9),1,0)</x:f>
        <x:v>0</x:v>
      </x:c>
      <x:c r="AC9" s="38" t="n">
        <x:f>IF(AND(AC$5&gt;=$D9,AC$5&lt;=$E9),1,0)</x:f>
        <x:v>0</x:v>
      </x:c>
      <x:c r="AD9" s="38" t="n">
        <x:f>IF(AND(AD$5&gt;=$D9,AD$5&lt;=$E9),1,0)</x:f>
        <x:v>0</x:v>
      </x:c>
      <x:c r="AE9" s="38" t="n">
        <x:f>IF(AND(AE$5&gt;=$D9,AE$5&lt;=$E9),1,0)</x:f>
        <x:v>0</x:v>
      </x:c>
      <x:c r="AF9" s="38" t="n">
        <x:f>IF(AND(AF$5&gt;=$D9,AF$5&lt;=$E9),1,0)</x:f>
        <x:v>0</x:v>
      </x:c>
      <x:c r="AG9" s="38" t="n">
        <x:f>IF(AND(AG$5&gt;=$D9,AG$5&lt;=$E9),1,0)</x:f>
        <x:v>0</x:v>
      </x:c>
      <x:c r="AH9" s="38" t="n">
        <x:f>IF(AND(AH$5&gt;=$D9,AH$5&lt;=$E9),1,0)</x:f>
        <x:v>0</x:v>
      </x:c>
      <x:c r="AI9" s="38" t="n">
        <x:f>IF(AND(AI$5&gt;=$D9,AI$5&lt;=$E9),1,0)</x:f>
        <x:v>0</x:v>
      </x:c>
      <x:c r="AJ9" s="38" t="n">
        <x:f>IF(AND(AJ$5&gt;=$D9,AJ$5&lt;=$E9),1,0)</x:f>
        <x:v>0</x:v>
      </x:c>
      <x:c r="AK9" s="38" t="n">
        <x:f>IF(AND(AK$5&gt;=$D9,AK$5&lt;=$E9),1,0)</x:f>
        <x:v>0</x:v>
      </x:c>
      <x:c r="AL9" s="38" t="n">
        <x:f>IF(AND(AL$5&gt;=$D9,AL$5&lt;=$E9),1,0)</x:f>
        <x:v>0</x:v>
      </x:c>
      <x:c r="AM9" s="38" t="n">
        <x:f>IF(AND(AM$5&gt;=$D9,AM$5&lt;=$E9),1,0)</x:f>
        <x:v>0</x:v>
      </x:c>
      <x:c r="AN9" s="38" t="n">
        <x:f>IF(AND(AN$5&gt;=$D9,AN$5&lt;=$E9),1,0)</x:f>
        <x:v>0</x:v>
      </x:c>
      <x:c r="AO9" s="38" t="n">
        <x:f>IF(AND(AO$5&gt;=$D9,AO$5&lt;=$E9),1,0)</x:f>
        <x:v>0</x:v>
      </x:c>
      <x:c r="AP9" s="38" t="n">
        <x:f>IF(AND(AP$5&gt;=$D9,AP$5&lt;=$E9),1,0)</x:f>
        <x:v>0</x:v>
      </x:c>
      <x:c r="AQ9" s="38" t="n">
        <x:f>IF(AND(AQ$5&gt;=$D9,AQ$5&lt;=$E9),1,0)</x:f>
        <x:v>0</x:v>
      </x:c>
    </x:row>
    <x:row r="10" ht="38" customHeight="1">
      <x:c r="A10" s="10" t="str">
        <x:v>B05</x:v>
      </x:c>
      <x:c r="B10" s="10" t="str">
        <x:v>Run the foundation model in AWS on text and images</x:v>
      </x:c>
      <x:c r="C10" s="10" t="str">
        <x:v>AI</x:v>
      </x:c>
      <x:c r="D10" s="10" t="n">
        <x:f>ROUNDUP('Tasks'!K10/5,0)</x:f>
        <x:v>2</x:v>
      </x:c>
      <x:c r="E10" s="10" t="n">
        <x:f>ROUNDUP('Tasks'!L10/5,0)</x:f>
        <x:v>2</x:v>
      </x:c>
      <x:c r="F10" s="10" t="str">
        <x:f>'Tasks'!R10</x:f>
        <x:v>Not started</x:v>
      </x:c>
      <x:c r="G10" s="35" t="n">
        <x:f>'Tasks'!S10</x:f>
        <x:v>0</x:v>
      </x:c>
      <x:c r="H10" s="36" t="n">
        <x:f>IF(AND(H$5&gt;=$D10,H$5&lt;=$E10),1,0)</x:f>
        <x:v>0</x:v>
      </x:c>
      <x:c r="I10" s="36" t="n">
        <x:f>IF(AND(I$5&gt;=$D10,I$5&lt;=$E10),1,0)</x:f>
        <x:v>1</x:v>
      </x:c>
      <x:c r="J10" s="36" t="n">
        <x:f>IF(AND(J$5&gt;=$D10,J$5&lt;=$E10),1,0)</x:f>
        <x:v>0</x:v>
      </x:c>
      <x:c r="K10" s="36" t="n">
        <x:f>IF(AND(K$5&gt;=$D10,K$5&lt;=$E10),1,0)</x:f>
        <x:v>0</x:v>
      </x:c>
      <x:c r="L10" s="36" t="n">
        <x:f>IF(AND(L$5&gt;=$D10,L$5&lt;=$E10),1,0)</x:f>
        <x:v>0</x:v>
      </x:c>
      <x:c r="M10" s="36" t="n">
        <x:f>IF(AND(M$5&gt;=$D10,M$5&lt;=$E10),1,0)</x:f>
        <x:v>0</x:v>
      </x:c>
      <x:c r="N10" s="36" t="n">
        <x:f>IF(AND(N$5&gt;=$D10,N$5&lt;=$E10),1,0)</x:f>
        <x:v>0</x:v>
      </x:c>
      <x:c r="O10" s="36" t="n">
        <x:f>IF(AND(O$5&gt;=$D10,O$5&lt;=$E10),1,0)</x:f>
        <x:v>0</x:v>
      </x:c>
      <x:c r="P10" s="36" t="n">
        <x:f>IF(AND(P$5&gt;=$D10,P$5&lt;=$E10),1,0)</x:f>
        <x:v>0</x:v>
      </x:c>
      <x:c r="Q10" s="36" t="n">
        <x:f>IF(AND(Q$5&gt;=$D10,Q$5&lt;=$E10),1,0)</x:f>
        <x:v>0</x:v>
      </x:c>
      <x:c r="R10" s="36" t="n">
        <x:f>IF(AND(R$5&gt;=$D10,R$5&lt;=$E10),1,0)</x:f>
        <x:v>0</x:v>
      </x:c>
      <x:c r="S10" s="36" t="n">
        <x:f>IF(AND(S$5&gt;=$D10,S$5&lt;=$E10),1,0)</x:f>
        <x:v>0</x:v>
      </x:c>
      <x:c r="T10" s="36" t="n">
        <x:f>IF(AND(T$5&gt;=$D10,T$5&lt;=$E10),1,0)</x:f>
        <x:v>0</x:v>
      </x:c>
      <x:c r="U10" s="36" t="n">
        <x:f>IF(AND(U$5&gt;=$D10,U$5&lt;=$E10),1,0)</x:f>
        <x:v>0</x:v>
      </x:c>
      <x:c r="V10" s="36" t="n">
        <x:f>IF(AND(V$5&gt;=$D10,V$5&lt;=$E10),1,0)</x:f>
        <x:v>0</x:v>
      </x:c>
      <x:c r="W10" s="36" t="n">
        <x:f>IF(AND(W$5&gt;=$D10,W$5&lt;=$E10),1,0)</x:f>
        <x:v>0</x:v>
      </x:c>
      <x:c r="X10" s="36" t="n">
        <x:f>IF(AND(X$5&gt;=$D10,X$5&lt;=$E10),1,0)</x:f>
        <x:v>0</x:v>
      </x:c>
      <x:c r="Y10" s="36" t="n">
        <x:f>IF(AND(Y$5&gt;=$D10,Y$5&lt;=$E10),1,0)</x:f>
        <x:v>0</x:v>
      </x:c>
      <x:c r="Z10" s="36" t="n">
        <x:f>IF(AND(Z$5&gt;=$D10,Z$5&lt;=$E10),1,0)</x:f>
        <x:v>0</x:v>
      </x:c>
      <x:c r="AA10" s="36" t="n">
        <x:f>IF(AND(AA$5&gt;=$D10,AA$5&lt;=$E10),1,0)</x:f>
        <x:v>0</x:v>
      </x:c>
      <x:c r="AB10" s="36" t="n">
        <x:f>IF(AND(AB$5&gt;=$D10,AB$5&lt;=$E10),1,0)</x:f>
        <x:v>0</x:v>
      </x:c>
      <x:c r="AC10" s="36" t="n">
        <x:f>IF(AND(AC$5&gt;=$D10,AC$5&lt;=$E10),1,0)</x:f>
        <x:v>0</x:v>
      </x:c>
      <x:c r="AD10" s="36" t="n">
        <x:f>IF(AND(AD$5&gt;=$D10,AD$5&lt;=$E10),1,0)</x:f>
        <x:v>0</x:v>
      </x:c>
      <x:c r="AE10" s="36" t="n">
        <x:f>IF(AND(AE$5&gt;=$D10,AE$5&lt;=$E10),1,0)</x:f>
        <x:v>0</x:v>
      </x:c>
      <x:c r="AF10" s="36" t="n">
        <x:f>IF(AND(AF$5&gt;=$D10,AF$5&lt;=$E10),1,0)</x:f>
        <x:v>0</x:v>
      </x:c>
      <x:c r="AG10" s="36" t="n">
        <x:f>IF(AND(AG$5&gt;=$D10,AG$5&lt;=$E10),1,0)</x:f>
        <x:v>0</x:v>
      </x:c>
      <x:c r="AH10" s="36" t="n">
        <x:f>IF(AND(AH$5&gt;=$D10,AH$5&lt;=$E10),1,0)</x:f>
        <x:v>0</x:v>
      </x:c>
      <x:c r="AI10" s="36" t="n">
        <x:f>IF(AND(AI$5&gt;=$D10,AI$5&lt;=$E10),1,0)</x:f>
        <x:v>0</x:v>
      </x:c>
      <x:c r="AJ10" s="36" t="n">
        <x:f>IF(AND(AJ$5&gt;=$D10,AJ$5&lt;=$E10),1,0)</x:f>
        <x:v>0</x:v>
      </x:c>
      <x:c r="AK10" s="36" t="n">
        <x:f>IF(AND(AK$5&gt;=$D10,AK$5&lt;=$E10),1,0)</x:f>
        <x:v>0</x:v>
      </x:c>
      <x:c r="AL10" s="36" t="n">
        <x:f>IF(AND(AL$5&gt;=$D10,AL$5&lt;=$E10),1,0)</x:f>
        <x:v>0</x:v>
      </x:c>
      <x:c r="AM10" s="36" t="n">
        <x:f>IF(AND(AM$5&gt;=$D10,AM$5&lt;=$E10),1,0)</x:f>
        <x:v>0</x:v>
      </x:c>
      <x:c r="AN10" s="36" t="n">
        <x:f>IF(AND(AN$5&gt;=$D10,AN$5&lt;=$E10),1,0)</x:f>
        <x:v>0</x:v>
      </x:c>
      <x:c r="AO10" s="36" t="n">
        <x:f>IF(AND(AO$5&gt;=$D10,AO$5&lt;=$E10),1,0)</x:f>
        <x:v>0</x:v>
      </x:c>
      <x:c r="AP10" s="36" t="n">
        <x:f>IF(AND(AP$5&gt;=$D10,AP$5&lt;=$E10),1,0)</x:f>
        <x:v>0</x:v>
      </x:c>
      <x:c r="AQ10" s="36" t="n">
        <x:f>IF(AND(AQ$5&gt;=$D10,AQ$5&lt;=$E10),1,0)</x:f>
        <x:v>0</x:v>
      </x:c>
    </x:row>
    <x:row r="11" ht="38" customHeight="1">
      <x:c r="A11" s="9" t="str">
        <x:v>B06</x:v>
      </x:c>
      <x:c r="B11" s="9" t="str">
        <x:v>Inspect adapter targets and loss masking</x:v>
      </x:c>
      <x:c r="C11" s="9" t="str">
        <x:v>AI</x:v>
      </x:c>
      <x:c r="D11" s="9" t="n">
        <x:f>ROUNDUP('Tasks'!K11/5,0)</x:f>
        <x:v>2</x:v>
      </x:c>
      <x:c r="E11" s="9" t="n">
        <x:f>ROUNDUP('Tasks'!L11/5,0)</x:f>
        <x:v>3</x:v>
      </x:c>
      <x:c r="F11" s="9" t="str">
        <x:f>'Tasks'!R11</x:f>
        <x:v>Not started</x:v>
      </x:c>
      <x:c r="G11" s="37" t="n">
        <x:f>'Tasks'!S11</x:f>
        <x:v>0</x:v>
      </x:c>
      <x:c r="H11" s="38" t="n">
        <x:f>IF(AND(H$5&gt;=$D11,H$5&lt;=$E11),1,0)</x:f>
        <x:v>0</x:v>
      </x:c>
      <x:c r="I11" s="38" t="n">
        <x:f>IF(AND(I$5&gt;=$D11,I$5&lt;=$E11),1,0)</x:f>
        <x:v>1</x:v>
      </x:c>
      <x:c r="J11" s="38" t="n">
        <x:f>IF(AND(J$5&gt;=$D11,J$5&lt;=$E11),1,0)</x:f>
        <x:v>1</x:v>
      </x:c>
      <x:c r="K11" s="38" t="n">
        <x:f>IF(AND(K$5&gt;=$D11,K$5&lt;=$E11),1,0)</x:f>
        <x:v>0</x:v>
      </x:c>
      <x:c r="L11" s="38" t="n">
        <x:f>IF(AND(L$5&gt;=$D11,L$5&lt;=$E11),1,0)</x:f>
        <x:v>0</x:v>
      </x:c>
      <x:c r="M11" s="38" t="n">
        <x:f>IF(AND(M$5&gt;=$D11,M$5&lt;=$E11),1,0)</x:f>
        <x:v>0</x:v>
      </x:c>
      <x:c r="N11" s="38" t="n">
        <x:f>IF(AND(N$5&gt;=$D11,N$5&lt;=$E11),1,0)</x:f>
        <x:v>0</x:v>
      </x:c>
      <x:c r="O11" s="38" t="n">
        <x:f>IF(AND(O$5&gt;=$D11,O$5&lt;=$E11),1,0)</x:f>
        <x:v>0</x:v>
      </x:c>
      <x:c r="P11" s="38" t="n">
        <x:f>IF(AND(P$5&gt;=$D11,P$5&lt;=$E11),1,0)</x:f>
        <x:v>0</x:v>
      </x:c>
      <x:c r="Q11" s="38" t="n">
        <x:f>IF(AND(Q$5&gt;=$D11,Q$5&lt;=$E11),1,0)</x:f>
        <x:v>0</x:v>
      </x:c>
      <x:c r="R11" s="38" t="n">
        <x:f>IF(AND(R$5&gt;=$D11,R$5&lt;=$E11),1,0)</x:f>
        <x:v>0</x:v>
      </x:c>
      <x:c r="S11" s="38" t="n">
        <x:f>IF(AND(S$5&gt;=$D11,S$5&lt;=$E11),1,0)</x:f>
        <x:v>0</x:v>
      </x:c>
      <x:c r="T11" s="38" t="n">
        <x:f>IF(AND(T$5&gt;=$D11,T$5&lt;=$E11),1,0)</x:f>
        <x:v>0</x:v>
      </x:c>
      <x:c r="U11" s="38" t="n">
        <x:f>IF(AND(U$5&gt;=$D11,U$5&lt;=$E11),1,0)</x:f>
        <x:v>0</x:v>
      </x:c>
      <x:c r="V11" s="38" t="n">
        <x:f>IF(AND(V$5&gt;=$D11,V$5&lt;=$E11),1,0)</x:f>
        <x:v>0</x:v>
      </x:c>
      <x:c r="W11" s="38" t="n">
        <x:f>IF(AND(W$5&gt;=$D11,W$5&lt;=$E11),1,0)</x:f>
        <x:v>0</x:v>
      </x:c>
      <x:c r="X11" s="38" t="n">
        <x:f>IF(AND(X$5&gt;=$D11,X$5&lt;=$E11),1,0)</x:f>
        <x:v>0</x:v>
      </x:c>
      <x:c r="Y11" s="38" t="n">
        <x:f>IF(AND(Y$5&gt;=$D11,Y$5&lt;=$E11),1,0)</x:f>
        <x:v>0</x:v>
      </x:c>
      <x:c r="Z11" s="38" t="n">
        <x:f>IF(AND(Z$5&gt;=$D11,Z$5&lt;=$E11),1,0)</x:f>
        <x:v>0</x:v>
      </x:c>
      <x:c r="AA11" s="38" t="n">
        <x:f>IF(AND(AA$5&gt;=$D11,AA$5&lt;=$E11),1,0)</x:f>
        <x:v>0</x:v>
      </x:c>
      <x:c r="AB11" s="38" t="n">
        <x:f>IF(AND(AB$5&gt;=$D11,AB$5&lt;=$E11),1,0)</x:f>
        <x:v>0</x:v>
      </x:c>
      <x:c r="AC11" s="38" t="n">
        <x:f>IF(AND(AC$5&gt;=$D11,AC$5&lt;=$E11),1,0)</x:f>
        <x:v>0</x:v>
      </x:c>
      <x:c r="AD11" s="38" t="n">
        <x:f>IF(AND(AD$5&gt;=$D11,AD$5&lt;=$E11),1,0)</x:f>
        <x:v>0</x:v>
      </x:c>
      <x:c r="AE11" s="38" t="n">
        <x:f>IF(AND(AE$5&gt;=$D11,AE$5&lt;=$E11),1,0)</x:f>
        <x:v>0</x:v>
      </x:c>
      <x:c r="AF11" s="38" t="n">
        <x:f>IF(AND(AF$5&gt;=$D11,AF$5&lt;=$E11),1,0)</x:f>
        <x:v>0</x:v>
      </x:c>
      <x:c r="AG11" s="38" t="n">
        <x:f>IF(AND(AG$5&gt;=$D11,AG$5&lt;=$E11),1,0)</x:f>
        <x:v>0</x:v>
      </x:c>
      <x:c r="AH11" s="38" t="n">
        <x:f>IF(AND(AH$5&gt;=$D11,AH$5&lt;=$E11),1,0)</x:f>
        <x:v>0</x:v>
      </x:c>
      <x:c r="AI11" s="38" t="n">
        <x:f>IF(AND(AI$5&gt;=$D11,AI$5&lt;=$E11),1,0)</x:f>
        <x:v>0</x:v>
      </x:c>
      <x:c r="AJ11" s="38" t="n">
        <x:f>IF(AND(AJ$5&gt;=$D11,AJ$5&lt;=$E11),1,0)</x:f>
        <x:v>0</x:v>
      </x:c>
      <x:c r="AK11" s="38" t="n">
        <x:f>IF(AND(AK$5&gt;=$D11,AK$5&lt;=$E11),1,0)</x:f>
        <x:v>0</x:v>
      </x:c>
      <x:c r="AL11" s="38" t="n">
        <x:f>IF(AND(AL$5&gt;=$D11,AL$5&lt;=$E11),1,0)</x:f>
        <x:v>0</x:v>
      </x:c>
      <x:c r="AM11" s="38" t="n">
        <x:f>IF(AND(AM$5&gt;=$D11,AM$5&lt;=$E11),1,0)</x:f>
        <x:v>0</x:v>
      </x:c>
      <x:c r="AN11" s="38" t="n">
        <x:f>IF(AND(AN$5&gt;=$D11,AN$5&lt;=$E11),1,0)</x:f>
        <x:v>0</x:v>
      </x:c>
      <x:c r="AO11" s="38" t="n">
        <x:f>IF(AND(AO$5&gt;=$D11,AO$5&lt;=$E11),1,0)</x:f>
        <x:v>0</x:v>
      </x:c>
      <x:c r="AP11" s="38" t="n">
        <x:f>IF(AND(AP$5&gt;=$D11,AP$5&lt;=$E11),1,0)</x:f>
        <x:v>0</x:v>
      </x:c>
      <x:c r="AQ11" s="38" t="n">
        <x:f>IF(AND(AQ$5&gt;=$D11,AQ$5&lt;=$E11),1,0)</x:f>
        <x:v>0</x:v>
      </x:c>
    </x:row>
    <x:row r="12" ht="38" customHeight="1">
      <x:c r="A12" s="10" t="str">
        <x:v>B07</x:v>
      </x:c>
      <x:c r="B12" s="10" t="str">
        <x:v>Prove train save reload compatibility</x:v>
      </x:c>
      <x:c r="C12" s="10" t="str">
        <x:v>AI</x:v>
      </x:c>
      <x:c r="D12" s="10" t="n">
        <x:f>ROUNDUP('Tasks'!K12/5,0)</x:f>
        <x:v>3</x:v>
      </x:c>
      <x:c r="E12" s="10" t="n">
        <x:f>ROUNDUP('Tasks'!L12/5,0)</x:f>
        <x:v>3</x:v>
      </x:c>
      <x:c r="F12" s="10" t="str">
        <x:f>'Tasks'!R12</x:f>
        <x:v>Not started</x:v>
      </x:c>
      <x:c r="G12" s="35" t="n">
        <x:f>'Tasks'!S12</x:f>
        <x:v>0</x:v>
      </x:c>
      <x:c r="H12" s="36" t="n">
        <x:f>IF(AND(H$5&gt;=$D12,H$5&lt;=$E12),1,0)</x:f>
        <x:v>0</x:v>
      </x:c>
      <x:c r="I12" s="36" t="n">
        <x:f>IF(AND(I$5&gt;=$D12,I$5&lt;=$E12),1,0)</x:f>
        <x:v>0</x:v>
      </x:c>
      <x:c r="J12" s="36" t="n">
        <x:f>IF(AND(J$5&gt;=$D12,J$5&lt;=$E12),1,0)</x:f>
        <x:v>1</x:v>
      </x:c>
      <x:c r="K12" s="36" t="n">
        <x:f>IF(AND(K$5&gt;=$D12,K$5&lt;=$E12),1,0)</x:f>
        <x:v>0</x:v>
      </x:c>
      <x:c r="L12" s="36" t="n">
        <x:f>IF(AND(L$5&gt;=$D12,L$5&lt;=$E12),1,0)</x:f>
        <x:v>0</x:v>
      </x:c>
      <x:c r="M12" s="36" t="n">
        <x:f>IF(AND(M$5&gt;=$D12,M$5&lt;=$E12),1,0)</x:f>
        <x:v>0</x:v>
      </x:c>
      <x:c r="N12" s="36" t="n">
        <x:f>IF(AND(N$5&gt;=$D12,N$5&lt;=$E12),1,0)</x:f>
        <x:v>0</x:v>
      </x:c>
      <x:c r="O12" s="36" t="n">
        <x:f>IF(AND(O$5&gt;=$D12,O$5&lt;=$E12),1,0)</x:f>
        <x:v>0</x:v>
      </x:c>
      <x:c r="P12" s="36" t="n">
        <x:f>IF(AND(P$5&gt;=$D12,P$5&lt;=$E12),1,0)</x:f>
        <x:v>0</x:v>
      </x:c>
      <x:c r="Q12" s="36" t="n">
        <x:f>IF(AND(Q$5&gt;=$D12,Q$5&lt;=$E12),1,0)</x:f>
        <x:v>0</x:v>
      </x:c>
      <x:c r="R12" s="36" t="n">
        <x:f>IF(AND(R$5&gt;=$D12,R$5&lt;=$E12),1,0)</x:f>
        <x:v>0</x:v>
      </x:c>
      <x:c r="S12" s="36" t="n">
        <x:f>IF(AND(S$5&gt;=$D12,S$5&lt;=$E12),1,0)</x:f>
        <x:v>0</x:v>
      </x:c>
      <x:c r="T12" s="36" t="n">
        <x:f>IF(AND(T$5&gt;=$D12,T$5&lt;=$E12),1,0)</x:f>
        <x:v>0</x:v>
      </x:c>
      <x:c r="U12" s="36" t="n">
        <x:f>IF(AND(U$5&gt;=$D12,U$5&lt;=$E12),1,0)</x:f>
        <x:v>0</x:v>
      </x:c>
      <x:c r="V12" s="36" t="n">
        <x:f>IF(AND(V$5&gt;=$D12,V$5&lt;=$E12),1,0)</x:f>
        <x:v>0</x:v>
      </x:c>
      <x:c r="W12" s="36" t="n">
        <x:f>IF(AND(W$5&gt;=$D12,W$5&lt;=$E12),1,0)</x:f>
        <x:v>0</x:v>
      </x:c>
      <x:c r="X12" s="36" t="n">
        <x:f>IF(AND(X$5&gt;=$D12,X$5&lt;=$E12),1,0)</x:f>
        <x:v>0</x:v>
      </x:c>
      <x:c r="Y12" s="36" t="n">
        <x:f>IF(AND(Y$5&gt;=$D12,Y$5&lt;=$E12),1,0)</x:f>
        <x:v>0</x:v>
      </x:c>
      <x:c r="Z12" s="36" t="n">
        <x:f>IF(AND(Z$5&gt;=$D12,Z$5&lt;=$E12),1,0)</x:f>
        <x:v>0</x:v>
      </x:c>
      <x:c r="AA12" s="36" t="n">
        <x:f>IF(AND(AA$5&gt;=$D12,AA$5&lt;=$E12),1,0)</x:f>
        <x:v>0</x:v>
      </x:c>
      <x:c r="AB12" s="36" t="n">
        <x:f>IF(AND(AB$5&gt;=$D12,AB$5&lt;=$E12),1,0)</x:f>
        <x:v>0</x:v>
      </x:c>
      <x:c r="AC12" s="36" t="n">
        <x:f>IF(AND(AC$5&gt;=$D12,AC$5&lt;=$E12),1,0)</x:f>
        <x:v>0</x:v>
      </x:c>
      <x:c r="AD12" s="36" t="n">
        <x:f>IF(AND(AD$5&gt;=$D12,AD$5&lt;=$E12),1,0)</x:f>
        <x:v>0</x:v>
      </x:c>
      <x:c r="AE12" s="36" t="n">
        <x:f>IF(AND(AE$5&gt;=$D12,AE$5&lt;=$E12),1,0)</x:f>
        <x:v>0</x:v>
      </x:c>
      <x:c r="AF12" s="36" t="n">
        <x:f>IF(AND(AF$5&gt;=$D12,AF$5&lt;=$E12),1,0)</x:f>
        <x:v>0</x:v>
      </x:c>
      <x:c r="AG12" s="36" t="n">
        <x:f>IF(AND(AG$5&gt;=$D12,AG$5&lt;=$E12),1,0)</x:f>
        <x:v>0</x:v>
      </x:c>
      <x:c r="AH12" s="36" t="n">
        <x:f>IF(AND(AH$5&gt;=$D12,AH$5&lt;=$E12),1,0)</x:f>
        <x:v>0</x:v>
      </x:c>
      <x:c r="AI12" s="36" t="n">
        <x:f>IF(AND(AI$5&gt;=$D12,AI$5&lt;=$E12),1,0)</x:f>
        <x:v>0</x:v>
      </x:c>
      <x:c r="AJ12" s="36" t="n">
        <x:f>IF(AND(AJ$5&gt;=$D12,AJ$5&lt;=$E12),1,0)</x:f>
        <x:v>0</x:v>
      </x:c>
      <x:c r="AK12" s="36" t="n">
        <x:f>IF(AND(AK$5&gt;=$D12,AK$5&lt;=$E12),1,0)</x:f>
        <x:v>0</x:v>
      </x:c>
      <x:c r="AL12" s="36" t="n">
        <x:f>IF(AND(AL$5&gt;=$D12,AL$5&lt;=$E12),1,0)</x:f>
        <x:v>0</x:v>
      </x:c>
      <x:c r="AM12" s="36" t="n">
        <x:f>IF(AND(AM$5&gt;=$D12,AM$5&lt;=$E12),1,0)</x:f>
        <x:v>0</x:v>
      </x:c>
      <x:c r="AN12" s="36" t="n">
        <x:f>IF(AND(AN$5&gt;=$D12,AN$5&lt;=$E12),1,0)</x:f>
        <x:v>0</x:v>
      </x:c>
      <x:c r="AO12" s="36" t="n">
        <x:f>IF(AND(AO$5&gt;=$D12,AO$5&lt;=$E12),1,0)</x:f>
        <x:v>0</x:v>
      </x:c>
      <x:c r="AP12" s="36" t="n">
        <x:f>IF(AND(AP$5&gt;=$D12,AP$5&lt;=$E12),1,0)</x:f>
        <x:v>0</x:v>
      </x:c>
      <x:c r="AQ12" s="36" t="n">
        <x:f>IF(AND(AQ$5&gt;=$D12,AQ$5&lt;=$E12),1,0)</x:f>
        <x:v>0</x:v>
      </x:c>
    </x:row>
    <x:row r="13" ht="38" customHeight="1">
      <x:c r="A13" s="9" t="str">
        <x:v>A01</x:v>
      </x:c>
      <x:c r="B13" s="9" t="str">
        <x:v>Define three pilot workflows</x:v>
      </x:c>
      <x:c r="C13" s="9" t="str">
        <x:v>HP</x:v>
      </x:c>
      <x:c r="D13" s="9" t="n">
        <x:f>ROUNDUP('Tasks'!K13/5,0)</x:f>
        <x:v>1</x:v>
      </x:c>
      <x:c r="E13" s="9" t="n">
        <x:f>ROUNDUP('Tasks'!L13/5,0)</x:f>
        <x:v>1</x:v>
      </x:c>
      <x:c r="F13" s="9" t="str">
        <x:f>'Tasks'!R13</x:f>
        <x:v>Not started</x:v>
      </x:c>
      <x:c r="G13" s="37" t="n">
        <x:f>'Tasks'!S13</x:f>
        <x:v>0</x:v>
      </x:c>
      <x:c r="H13" s="38" t="n">
        <x:f>IF(AND(H$5&gt;=$D13,H$5&lt;=$E13),1,0)</x:f>
        <x:v>1</x:v>
      </x:c>
      <x:c r="I13" s="38" t="n">
        <x:f>IF(AND(I$5&gt;=$D13,I$5&lt;=$E13),1,0)</x:f>
        <x:v>0</x:v>
      </x:c>
      <x:c r="J13" s="38" t="n">
        <x:f>IF(AND(J$5&gt;=$D13,J$5&lt;=$E13),1,0)</x:f>
        <x:v>0</x:v>
      </x:c>
      <x:c r="K13" s="38" t="n">
        <x:f>IF(AND(K$5&gt;=$D13,K$5&lt;=$E13),1,0)</x:f>
        <x:v>0</x:v>
      </x:c>
      <x:c r="L13" s="38" t="n">
        <x:f>IF(AND(L$5&gt;=$D13,L$5&lt;=$E13),1,0)</x:f>
        <x:v>0</x:v>
      </x:c>
      <x:c r="M13" s="38" t="n">
        <x:f>IF(AND(M$5&gt;=$D13,M$5&lt;=$E13),1,0)</x:f>
        <x:v>0</x:v>
      </x:c>
      <x:c r="N13" s="38" t="n">
        <x:f>IF(AND(N$5&gt;=$D13,N$5&lt;=$E13),1,0)</x:f>
        <x:v>0</x:v>
      </x:c>
      <x:c r="O13" s="38" t="n">
        <x:f>IF(AND(O$5&gt;=$D13,O$5&lt;=$E13),1,0)</x:f>
        <x:v>0</x:v>
      </x:c>
      <x:c r="P13" s="38" t="n">
        <x:f>IF(AND(P$5&gt;=$D13,P$5&lt;=$E13),1,0)</x:f>
        <x:v>0</x:v>
      </x:c>
      <x:c r="Q13" s="38" t="n">
        <x:f>IF(AND(Q$5&gt;=$D13,Q$5&lt;=$E13),1,0)</x:f>
        <x:v>0</x:v>
      </x:c>
      <x:c r="R13" s="38" t="n">
        <x:f>IF(AND(R$5&gt;=$D13,R$5&lt;=$E13),1,0)</x:f>
        <x:v>0</x:v>
      </x:c>
      <x:c r="S13" s="38" t="n">
        <x:f>IF(AND(S$5&gt;=$D13,S$5&lt;=$E13),1,0)</x:f>
        <x:v>0</x:v>
      </x:c>
      <x:c r="T13" s="38" t="n">
        <x:f>IF(AND(T$5&gt;=$D13,T$5&lt;=$E13),1,0)</x:f>
        <x:v>0</x:v>
      </x:c>
      <x:c r="U13" s="38" t="n">
        <x:f>IF(AND(U$5&gt;=$D13,U$5&lt;=$E13),1,0)</x:f>
        <x:v>0</x:v>
      </x:c>
      <x:c r="V13" s="38" t="n">
        <x:f>IF(AND(V$5&gt;=$D13,V$5&lt;=$E13),1,0)</x:f>
        <x:v>0</x:v>
      </x:c>
      <x:c r="W13" s="38" t="n">
        <x:f>IF(AND(W$5&gt;=$D13,W$5&lt;=$E13),1,0)</x:f>
        <x:v>0</x:v>
      </x:c>
      <x:c r="X13" s="38" t="n">
        <x:f>IF(AND(X$5&gt;=$D13,X$5&lt;=$E13),1,0)</x:f>
        <x:v>0</x:v>
      </x:c>
      <x:c r="Y13" s="38" t="n">
        <x:f>IF(AND(Y$5&gt;=$D13,Y$5&lt;=$E13),1,0)</x:f>
        <x:v>0</x:v>
      </x:c>
      <x:c r="Z13" s="38" t="n">
        <x:f>IF(AND(Z$5&gt;=$D13,Z$5&lt;=$E13),1,0)</x:f>
        <x:v>0</x:v>
      </x:c>
      <x:c r="AA13" s="38" t="n">
        <x:f>IF(AND(AA$5&gt;=$D13,AA$5&lt;=$E13),1,0)</x:f>
        <x:v>0</x:v>
      </x:c>
      <x:c r="AB13" s="38" t="n">
        <x:f>IF(AND(AB$5&gt;=$D13,AB$5&lt;=$E13),1,0)</x:f>
        <x:v>0</x:v>
      </x:c>
      <x:c r="AC13" s="38" t="n">
        <x:f>IF(AND(AC$5&gt;=$D13,AC$5&lt;=$E13),1,0)</x:f>
        <x:v>0</x:v>
      </x:c>
      <x:c r="AD13" s="38" t="n">
        <x:f>IF(AND(AD$5&gt;=$D13,AD$5&lt;=$E13),1,0)</x:f>
        <x:v>0</x:v>
      </x:c>
      <x:c r="AE13" s="38" t="n">
        <x:f>IF(AND(AE$5&gt;=$D13,AE$5&lt;=$E13),1,0)</x:f>
        <x:v>0</x:v>
      </x:c>
      <x:c r="AF13" s="38" t="n">
        <x:f>IF(AND(AF$5&gt;=$D13,AF$5&lt;=$E13),1,0)</x:f>
        <x:v>0</x:v>
      </x:c>
      <x:c r="AG13" s="38" t="n">
        <x:f>IF(AND(AG$5&gt;=$D13,AG$5&lt;=$E13),1,0)</x:f>
        <x:v>0</x:v>
      </x:c>
      <x:c r="AH13" s="38" t="n">
        <x:f>IF(AND(AH$5&gt;=$D13,AH$5&lt;=$E13),1,0)</x:f>
        <x:v>0</x:v>
      </x:c>
      <x:c r="AI13" s="38" t="n">
        <x:f>IF(AND(AI$5&gt;=$D13,AI$5&lt;=$E13),1,0)</x:f>
        <x:v>0</x:v>
      </x:c>
      <x:c r="AJ13" s="38" t="n">
        <x:f>IF(AND(AJ$5&gt;=$D13,AJ$5&lt;=$E13),1,0)</x:f>
        <x:v>0</x:v>
      </x:c>
      <x:c r="AK13" s="38" t="n">
        <x:f>IF(AND(AK$5&gt;=$D13,AK$5&lt;=$E13),1,0)</x:f>
        <x:v>0</x:v>
      </x:c>
      <x:c r="AL13" s="38" t="n">
        <x:f>IF(AND(AL$5&gt;=$D13,AL$5&lt;=$E13),1,0)</x:f>
        <x:v>0</x:v>
      </x:c>
      <x:c r="AM13" s="38" t="n">
        <x:f>IF(AND(AM$5&gt;=$D13,AM$5&lt;=$E13),1,0)</x:f>
        <x:v>0</x:v>
      </x:c>
      <x:c r="AN13" s="38" t="n">
        <x:f>IF(AND(AN$5&gt;=$D13,AN$5&lt;=$E13),1,0)</x:f>
        <x:v>0</x:v>
      </x:c>
      <x:c r="AO13" s="38" t="n">
        <x:f>IF(AND(AO$5&gt;=$D13,AO$5&lt;=$E13),1,0)</x:f>
        <x:v>0</x:v>
      </x:c>
      <x:c r="AP13" s="38" t="n">
        <x:f>IF(AND(AP$5&gt;=$D13,AP$5&lt;=$E13),1,0)</x:f>
        <x:v>0</x:v>
      </x:c>
      <x:c r="AQ13" s="38" t="n">
        <x:f>IF(AND(AQ$5&gt;=$D13,AQ$5&lt;=$E13),1,0)</x:f>
        <x:v>0</x:v>
      </x:c>
    </x:row>
    <x:row r="14" ht="38" customHeight="1">
      <x:c r="A14" s="10" t="str">
        <x:v>A02</x:v>
      </x:c>
      <x:c r="B14" s="10" t="str">
        <x:v>Assign named delivery and review owners</x:v>
      </x:c>
      <x:c r="C14" s="10" t="str">
        <x:v>MD</x:v>
      </x:c>
      <x:c r="D14" s="10" t="n">
        <x:f>ROUNDUP('Tasks'!K14/5,0)</x:f>
        <x:v>1</x:v>
      </x:c>
      <x:c r="E14" s="10" t="n">
        <x:f>ROUNDUP('Tasks'!L14/5,0)</x:f>
        <x:v>1</x:v>
      </x:c>
      <x:c r="F14" s="10" t="str">
        <x:f>'Tasks'!R14</x:f>
        <x:v>Not started</x:v>
      </x:c>
      <x:c r="G14" s="35" t="n">
        <x:f>'Tasks'!S14</x:f>
        <x:v>0</x:v>
      </x:c>
      <x:c r="H14" s="36" t="n">
        <x:f>IF(AND(H$5&gt;=$D14,H$5&lt;=$E14),1,0)</x:f>
        <x:v>1</x:v>
      </x:c>
      <x:c r="I14" s="36" t="n">
        <x:f>IF(AND(I$5&gt;=$D14,I$5&lt;=$E14),1,0)</x:f>
        <x:v>0</x:v>
      </x:c>
      <x:c r="J14" s="36" t="n">
        <x:f>IF(AND(J$5&gt;=$D14,J$5&lt;=$E14),1,0)</x:f>
        <x:v>0</x:v>
      </x:c>
      <x:c r="K14" s="36" t="n">
        <x:f>IF(AND(K$5&gt;=$D14,K$5&lt;=$E14),1,0)</x:f>
        <x:v>0</x:v>
      </x:c>
      <x:c r="L14" s="36" t="n">
        <x:f>IF(AND(L$5&gt;=$D14,L$5&lt;=$E14),1,0)</x:f>
        <x:v>0</x:v>
      </x:c>
      <x:c r="M14" s="36" t="n">
        <x:f>IF(AND(M$5&gt;=$D14,M$5&lt;=$E14),1,0)</x:f>
        <x:v>0</x:v>
      </x:c>
      <x:c r="N14" s="36" t="n">
        <x:f>IF(AND(N$5&gt;=$D14,N$5&lt;=$E14),1,0)</x:f>
        <x:v>0</x:v>
      </x:c>
      <x:c r="O14" s="36" t="n">
        <x:f>IF(AND(O$5&gt;=$D14,O$5&lt;=$E14),1,0)</x:f>
        <x:v>0</x:v>
      </x:c>
      <x:c r="P14" s="36" t="n">
        <x:f>IF(AND(P$5&gt;=$D14,P$5&lt;=$E14),1,0)</x:f>
        <x:v>0</x:v>
      </x:c>
      <x:c r="Q14" s="36" t="n">
        <x:f>IF(AND(Q$5&gt;=$D14,Q$5&lt;=$E14),1,0)</x:f>
        <x:v>0</x:v>
      </x:c>
      <x:c r="R14" s="36" t="n">
        <x:f>IF(AND(R$5&gt;=$D14,R$5&lt;=$E14),1,0)</x:f>
        <x:v>0</x:v>
      </x:c>
      <x:c r="S14" s="36" t="n">
        <x:f>IF(AND(S$5&gt;=$D14,S$5&lt;=$E14),1,0)</x:f>
        <x:v>0</x:v>
      </x:c>
      <x:c r="T14" s="36" t="n">
        <x:f>IF(AND(T$5&gt;=$D14,T$5&lt;=$E14),1,0)</x:f>
        <x:v>0</x:v>
      </x:c>
      <x:c r="U14" s="36" t="n">
        <x:f>IF(AND(U$5&gt;=$D14,U$5&lt;=$E14),1,0)</x:f>
        <x:v>0</x:v>
      </x:c>
      <x:c r="V14" s="36" t="n">
        <x:f>IF(AND(V$5&gt;=$D14,V$5&lt;=$E14),1,0)</x:f>
        <x:v>0</x:v>
      </x:c>
      <x:c r="W14" s="36" t="n">
        <x:f>IF(AND(W$5&gt;=$D14,W$5&lt;=$E14),1,0)</x:f>
        <x:v>0</x:v>
      </x:c>
      <x:c r="X14" s="36" t="n">
        <x:f>IF(AND(X$5&gt;=$D14,X$5&lt;=$E14),1,0)</x:f>
        <x:v>0</x:v>
      </x:c>
      <x:c r="Y14" s="36" t="n">
        <x:f>IF(AND(Y$5&gt;=$D14,Y$5&lt;=$E14),1,0)</x:f>
        <x:v>0</x:v>
      </x:c>
      <x:c r="Z14" s="36" t="n">
        <x:f>IF(AND(Z$5&gt;=$D14,Z$5&lt;=$E14),1,0)</x:f>
        <x:v>0</x:v>
      </x:c>
      <x:c r="AA14" s="36" t="n">
        <x:f>IF(AND(AA$5&gt;=$D14,AA$5&lt;=$E14),1,0)</x:f>
        <x:v>0</x:v>
      </x:c>
      <x:c r="AB14" s="36" t="n">
        <x:f>IF(AND(AB$5&gt;=$D14,AB$5&lt;=$E14),1,0)</x:f>
        <x:v>0</x:v>
      </x:c>
      <x:c r="AC14" s="36" t="n">
        <x:f>IF(AND(AC$5&gt;=$D14,AC$5&lt;=$E14),1,0)</x:f>
        <x:v>0</x:v>
      </x:c>
      <x:c r="AD14" s="36" t="n">
        <x:f>IF(AND(AD$5&gt;=$D14,AD$5&lt;=$E14),1,0)</x:f>
        <x:v>0</x:v>
      </x:c>
      <x:c r="AE14" s="36" t="n">
        <x:f>IF(AND(AE$5&gt;=$D14,AE$5&lt;=$E14),1,0)</x:f>
        <x:v>0</x:v>
      </x:c>
      <x:c r="AF14" s="36" t="n">
        <x:f>IF(AND(AF$5&gt;=$D14,AF$5&lt;=$E14),1,0)</x:f>
        <x:v>0</x:v>
      </x:c>
      <x:c r="AG14" s="36" t="n">
        <x:f>IF(AND(AG$5&gt;=$D14,AG$5&lt;=$E14),1,0)</x:f>
        <x:v>0</x:v>
      </x:c>
      <x:c r="AH14" s="36" t="n">
        <x:f>IF(AND(AH$5&gt;=$D14,AH$5&lt;=$E14),1,0)</x:f>
        <x:v>0</x:v>
      </x:c>
      <x:c r="AI14" s="36" t="n">
        <x:f>IF(AND(AI$5&gt;=$D14,AI$5&lt;=$E14),1,0)</x:f>
        <x:v>0</x:v>
      </x:c>
      <x:c r="AJ14" s="36" t="n">
        <x:f>IF(AND(AJ$5&gt;=$D14,AJ$5&lt;=$E14),1,0)</x:f>
        <x:v>0</x:v>
      </x:c>
      <x:c r="AK14" s="36" t="n">
        <x:f>IF(AND(AK$5&gt;=$D14,AK$5&lt;=$E14),1,0)</x:f>
        <x:v>0</x:v>
      </x:c>
      <x:c r="AL14" s="36" t="n">
        <x:f>IF(AND(AL$5&gt;=$D14,AL$5&lt;=$E14),1,0)</x:f>
        <x:v>0</x:v>
      </x:c>
      <x:c r="AM14" s="36" t="n">
        <x:f>IF(AND(AM$5&gt;=$D14,AM$5&lt;=$E14),1,0)</x:f>
        <x:v>0</x:v>
      </x:c>
      <x:c r="AN14" s="36" t="n">
        <x:f>IF(AND(AN$5&gt;=$D14,AN$5&lt;=$E14),1,0)</x:f>
        <x:v>0</x:v>
      </x:c>
      <x:c r="AO14" s="36" t="n">
        <x:f>IF(AND(AO$5&gt;=$D14,AO$5&lt;=$E14),1,0)</x:f>
        <x:v>0</x:v>
      </x:c>
      <x:c r="AP14" s="36" t="n">
        <x:f>IF(AND(AP$5&gt;=$D14,AP$5&lt;=$E14),1,0)</x:f>
        <x:v>0</x:v>
      </x:c>
      <x:c r="AQ14" s="36" t="n">
        <x:f>IF(AND(AQ$5&gt;=$D14,AQ$5&lt;=$E14),1,0)</x:f>
        <x:v>0</x:v>
      </x:c>
    </x:row>
    <x:row r="15" ht="38" customHeight="1">
      <x:c r="A15" s="9" t="str">
        <x:v>A03</x:v>
      </x:c>
      <x:c r="B15" s="9" t="str">
        <x:v>Measure current engineering workflow</x:v>
      </x:c>
      <x:c r="C15" s="9" t="str">
        <x:v>CD</x:v>
      </x:c>
      <x:c r="D15" s="9" t="n">
        <x:f>ROUNDUP('Tasks'!K15/5,0)</x:f>
        <x:v>1</x:v>
      </x:c>
      <x:c r="E15" s="9" t="n">
        <x:f>ROUNDUP('Tasks'!L15/5,0)</x:f>
        <x:v>2</x:v>
      </x:c>
      <x:c r="F15" s="9" t="str">
        <x:f>'Tasks'!R15</x:f>
        <x:v>Not started</x:v>
      </x:c>
      <x:c r="G15" s="37" t="n">
        <x:f>'Tasks'!S15</x:f>
        <x:v>0</x:v>
      </x:c>
      <x:c r="H15" s="38" t="n">
        <x:f>IF(AND(H$5&gt;=$D15,H$5&lt;=$E15),1,0)</x:f>
        <x:v>1</x:v>
      </x:c>
      <x:c r="I15" s="38" t="n">
        <x:f>IF(AND(I$5&gt;=$D15,I$5&lt;=$E15),1,0)</x:f>
        <x:v>1</x:v>
      </x:c>
      <x:c r="J15" s="38" t="n">
        <x:f>IF(AND(J$5&gt;=$D15,J$5&lt;=$E15),1,0)</x:f>
        <x:v>0</x:v>
      </x:c>
      <x:c r="K15" s="38" t="n">
        <x:f>IF(AND(K$5&gt;=$D15,K$5&lt;=$E15),1,0)</x:f>
        <x:v>0</x:v>
      </x:c>
      <x:c r="L15" s="38" t="n">
        <x:f>IF(AND(L$5&gt;=$D15,L$5&lt;=$E15),1,0)</x:f>
        <x:v>0</x:v>
      </x:c>
      <x:c r="M15" s="38" t="n">
        <x:f>IF(AND(M$5&gt;=$D15,M$5&lt;=$E15),1,0)</x:f>
        <x:v>0</x:v>
      </x:c>
      <x:c r="N15" s="38" t="n">
        <x:f>IF(AND(N$5&gt;=$D15,N$5&lt;=$E15),1,0)</x:f>
        <x:v>0</x:v>
      </x:c>
      <x:c r="O15" s="38" t="n">
        <x:f>IF(AND(O$5&gt;=$D15,O$5&lt;=$E15),1,0)</x:f>
        <x:v>0</x:v>
      </x:c>
      <x:c r="P15" s="38" t="n">
        <x:f>IF(AND(P$5&gt;=$D15,P$5&lt;=$E15),1,0)</x:f>
        <x:v>0</x:v>
      </x:c>
      <x:c r="Q15" s="38" t="n">
        <x:f>IF(AND(Q$5&gt;=$D15,Q$5&lt;=$E15),1,0)</x:f>
        <x:v>0</x:v>
      </x:c>
      <x:c r="R15" s="38" t="n">
        <x:f>IF(AND(R$5&gt;=$D15,R$5&lt;=$E15),1,0)</x:f>
        <x:v>0</x:v>
      </x:c>
      <x:c r="S15" s="38" t="n">
        <x:f>IF(AND(S$5&gt;=$D15,S$5&lt;=$E15),1,0)</x:f>
        <x:v>0</x:v>
      </x:c>
      <x:c r="T15" s="38" t="n">
        <x:f>IF(AND(T$5&gt;=$D15,T$5&lt;=$E15),1,0)</x:f>
        <x:v>0</x:v>
      </x:c>
      <x:c r="U15" s="38" t="n">
        <x:f>IF(AND(U$5&gt;=$D15,U$5&lt;=$E15),1,0)</x:f>
        <x:v>0</x:v>
      </x:c>
      <x:c r="V15" s="38" t="n">
        <x:f>IF(AND(V$5&gt;=$D15,V$5&lt;=$E15),1,0)</x:f>
        <x:v>0</x:v>
      </x:c>
      <x:c r="W15" s="38" t="n">
        <x:f>IF(AND(W$5&gt;=$D15,W$5&lt;=$E15),1,0)</x:f>
        <x:v>0</x:v>
      </x:c>
      <x:c r="X15" s="38" t="n">
        <x:f>IF(AND(X$5&gt;=$D15,X$5&lt;=$E15),1,0)</x:f>
        <x:v>0</x:v>
      </x:c>
      <x:c r="Y15" s="38" t="n">
        <x:f>IF(AND(Y$5&gt;=$D15,Y$5&lt;=$E15),1,0)</x:f>
        <x:v>0</x:v>
      </x:c>
      <x:c r="Z15" s="38" t="n">
        <x:f>IF(AND(Z$5&gt;=$D15,Z$5&lt;=$E15),1,0)</x:f>
        <x:v>0</x:v>
      </x:c>
      <x:c r="AA15" s="38" t="n">
        <x:f>IF(AND(AA$5&gt;=$D15,AA$5&lt;=$E15),1,0)</x:f>
        <x:v>0</x:v>
      </x:c>
      <x:c r="AB15" s="38" t="n">
        <x:f>IF(AND(AB$5&gt;=$D15,AB$5&lt;=$E15),1,0)</x:f>
        <x:v>0</x:v>
      </x:c>
      <x:c r="AC15" s="38" t="n">
        <x:f>IF(AND(AC$5&gt;=$D15,AC$5&lt;=$E15),1,0)</x:f>
        <x:v>0</x:v>
      </x:c>
      <x:c r="AD15" s="38" t="n">
        <x:f>IF(AND(AD$5&gt;=$D15,AD$5&lt;=$E15),1,0)</x:f>
        <x:v>0</x:v>
      </x:c>
      <x:c r="AE15" s="38" t="n">
        <x:f>IF(AND(AE$5&gt;=$D15,AE$5&lt;=$E15),1,0)</x:f>
        <x:v>0</x:v>
      </x:c>
      <x:c r="AF15" s="38" t="n">
        <x:f>IF(AND(AF$5&gt;=$D15,AF$5&lt;=$E15),1,0)</x:f>
        <x:v>0</x:v>
      </x:c>
      <x:c r="AG15" s="38" t="n">
        <x:f>IF(AND(AG$5&gt;=$D15,AG$5&lt;=$E15),1,0)</x:f>
        <x:v>0</x:v>
      </x:c>
      <x:c r="AH15" s="38" t="n">
        <x:f>IF(AND(AH$5&gt;=$D15,AH$5&lt;=$E15),1,0)</x:f>
        <x:v>0</x:v>
      </x:c>
      <x:c r="AI15" s="38" t="n">
        <x:f>IF(AND(AI$5&gt;=$D15,AI$5&lt;=$E15),1,0)</x:f>
        <x:v>0</x:v>
      </x:c>
      <x:c r="AJ15" s="38" t="n">
        <x:f>IF(AND(AJ$5&gt;=$D15,AJ$5&lt;=$E15),1,0)</x:f>
        <x:v>0</x:v>
      </x:c>
      <x:c r="AK15" s="38" t="n">
        <x:f>IF(AND(AK$5&gt;=$D15,AK$5&lt;=$E15),1,0)</x:f>
        <x:v>0</x:v>
      </x:c>
      <x:c r="AL15" s="38" t="n">
        <x:f>IF(AND(AL$5&gt;=$D15,AL$5&lt;=$E15),1,0)</x:f>
        <x:v>0</x:v>
      </x:c>
      <x:c r="AM15" s="38" t="n">
        <x:f>IF(AND(AM$5&gt;=$D15,AM$5&lt;=$E15),1,0)</x:f>
        <x:v>0</x:v>
      </x:c>
      <x:c r="AN15" s="38" t="n">
        <x:f>IF(AND(AN$5&gt;=$D15,AN$5&lt;=$E15),1,0)</x:f>
        <x:v>0</x:v>
      </x:c>
      <x:c r="AO15" s="38" t="n">
        <x:f>IF(AND(AO$5&gt;=$D15,AO$5&lt;=$E15),1,0)</x:f>
        <x:v>0</x:v>
      </x:c>
      <x:c r="AP15" s="38" t="n">
        <x:f>IF(AND(AP$5&gt;=$D15,AP$5&lt;=$E15),1,0)</x:f>
        <x:v>0</x:v>
      </x:c>
      <x:c r="AQ15" s="38" t="n">
        <x:f>IF(AND(AQ$5&gt;=$D15,AQ$5&lt;=$E15),1,0)</x:f>
        <x:v>0</x:v>
      </x:c>
    </x:row>
    <x:row r="16" ht="38" customHeight="1">
      <x:c r="A16" s="10" t="str">
        <x:v>A04</x:v>
      </x:c>
      <x:c r="B16" s="10" t="str">
        <x:v>Normalize all existing source leads</x:v>
      </x:c>
      <x:c r="C16" s="10" t="str">
        <x:v>KE</x:v>
      </x:c>
      <x:c r="D16" s="10" t="n">
        <x:f>ROUNDUP('Tasks'!K16/5,0)</x:f>
        <x:v>1</x:v>
      </x:c>
      <x:c r="E16" s="10" t="n">
        <x:f>ROUNDUP('Tasks'!L16/5,0)</x:f>
        <x:v>1</x:v>
      </x:c>
      <x:c r="F16" s="10" t="str">
        <x:f>'Tasks'!R16</x:f>
        <x:v>Not started</x:v>
      </x:c>
      <x:c r="G16" s="35" t="n">
        <x:f>'Tasks'!S16</x:f>
        <x:v>0</x:v>
      </x:c>
      <x:c r="H16" s="36" t="n">
        <x:f>IF(AND(H$5&gt;=$D16,H$5&lt;=$E16),1,0)</x:f>
        <x:v>1</x:v>
      </x:c>
      <x:c r="I16" s="36" t="n">
        <x:f>IF(AND(I$5&gt;=$D16,I$5&lt;=$E16),1,0)</x:f>
        <x:v>0</x:v>
      </x:c>
      <x:c r="J16" s="36" t="n">
        <x:f>IF(AND(J$5&gt;=$D16,J$5&lt;=$E16),1,0)</x:f>
        <x:v>0</x:v>
      </x:c>
      <x:c r="K16" s="36" t="n">
        <x:f>IF(AND(K$5&gt;=$D16,K$5&lt;=$E16),1,0)</x:f>
        <x:v>0</x:v>
      </x:c>
      <x:c r="L16" s="36" t="n">
        <x:f>IF(AND(L$5&gt;=$D16,L$5&lt;=$E16),1,0)</x:f>
        <x:v>0</x:v>
      </x:c>
      <x:c r="M16" s="36" t="n">
        <x:f>IF(AND(M$5&gt;=$D16,M$5&lt;=$E16),1,0)</x:f>
        <x:v>0</x:v>
      </x:c>
      <x:c r="N16" s="36" t="n">
        <x:f>IF(AND(N$5&gt;=$D16,N$5&lt;=$E16),1,0)</x:f>
        <x:v>0</x:v>
      </x:c>
      <x:c r="O16" s="36" t="n">
        <x:f>IF(AND(O$5&gt;=$D16,O$5&lt;=$E16),1,0)</x:f>
        <x:v>0</x:v>
      </x:c>
      <x:c r="P16" s="36" t="n">
        <x:f>IF(AND(P$5&gt;=$D16,P$5&lt;=$E16),1,0)</x:f>
        <x:v>0</x:v>
      </x:c>
      <x:c r="Q16" s="36" t="n">
        <x:f>IF(AND(Q$5&gt;=$D16,Q$5&lt;=$E16),1,0)</x:f>
        <x:v>0</x:v>
      </x:c>
      <x:c r="R16" s="36" t="n">
        <x:f>IF(AND(R$5&gt;=$D16,R$5&lt;=$E16),1,0)</x:f>
        <x:v>0</x:v>
      </x:c>
      <x:c r="S16" s="36" t="n">
        <x:f>IF(AND(S$5&gt;=$D16,S$5&lt;=$E16),1,0)</x:f>
        <x:v>0</x:v>
      </x:c>
      <x:c r="T16" s="36" t="n">
        <x:f>IF(AND(T$5&gt;=$D16,T$5&lt;=$E16),1,0)</x:f>
        <x:v>0</x:v>
      </x:c>
      <x:c r="U16" s="36" t="n">
        <x:f>IF(AND(U$5&gt;=$D16,U$5&lt;=$E16),1,0)</x:f>
        <x:v>0</x:v>
      </x:c>
      <x:c r="V16" s="36" t="n">
        <x:f>IF(AND(V$5&gt;=$D16,V$5&lt;=$E16),1,0)</x:f>
        <x:v>0</x:v>
      </x:c>
      <x:c r="W16" s="36" t="n">
        <x:f>IF(AND(W$5&gt;=$D16,W$5&lt;=$E16),1,0)</x:f>
        <x:v>0</x:v>
      </x:c>
      <x:c r="X16" s="36" t="n">
        <x:f>IF(AND(X$5&gt;=$D16,X$5&lt;=$E16),1,0)</x:f>
        <x:v>0</x:v>
      </x:c>
      <x:c r="Y16" s="36" t="n">
        <x:f>IF(AND(Y$5&gt;=$D16,Y$5&lt;=$E16),1,0)</x:f>
        <x:v>0</x:v>
      </x:c>
      <x:c r="Z16" s="36" t="n">
        <x:f>IF(AND(Z$5&gt;=$D16,Z$5&lt;=$E16),1,0)</x:f>
        <x:v>0</x:v>
      </x:c>
      <x:c r="AA16" s="36" t="n">
        <x:f>IF(AND(AA$5&gt;=$D16,AA$5&lt;=$E16),1,0)</x:f>
        <x:v>0</x:v>
      </x:c>
      <x:c r="AB16" s="36" t="n">
        <x:f>IF(AND(AB$5&gt;=$D16,AB$5&lt;=$E16),1,0)</x:f>
        <x:v>0</x:v>
      </x:c>
      <x:c r="AC16" s="36" t="n">
        <x:f>IF(AND(AC$5&gt;=$D16,AC$5&lt;=$E16),1,0)</x:f>
        <x:v>0</x:v>
      </x:c>
      <x:c r="AD16" s="36" t="n">
        <x:f>IF(AND(AD$5&gt;=$D16,AD$5&lt;=$E16),1,0)</x:f>
        <x:v>0</x:v>
      </x:c>
      <x:c r="AE16" s="36" t="n">
        <x:f>IF(AND(AE$5&gt;=$D16,AE$5&lt;=$E16),1,0)</x:f>
        <x:v>0</x:v>
      </x:c>
      <x:c r="AF16" s="36" t="n">
        <x:f>IF(AND(AF$5&gt;=$D16,AF$5&lt;=$E16),1,0)</x:f>
        <x:v>0</x:v>
      </x:c>
      <x:c r="AG16" s="36" t="n">
        <x:f>IF(AND(AG$5&gt;=$D16,AG$5&lt;=$E16),1,0)</x:f>
        <x:v>0</x:v>
      </x:c>
      <x:c r="AH16" s="36" t="n">
        <x:f>IF(AND(AH$5&gt;=$D16,AH$5&lt;=$E16),1,0)</x:f>
        <x:v>0</x:v>
      </x:c>
      <x:c r="AI16" s="36" t="n">
        <x:f>IF(AND(AI$5&gt;=$D16,AI$5&lt;=$E16),1,0)</x:f>
        <x:v>0</x:v>
      </x:c>
      <x:c r="AJ16" s="36" t="n">
        <x:f>IF(AND(AJ$5&gt;=$D16,AJ$5&lt;=$E16),1,0)</x:f>
        <x:v>0</x:v>
      </x:c>
      <x:c r="AK16" s="36" t="n">
        <x:f>IF(AND(AK$5&gt;=$D16,AK$5&lt;=$E16),1,0)</x:f>
        <x:v>0</x:v>
      </x:c>
      <x:c r="AL16" s="36" t="n">
        <x:f>IF(AND(AL$5&gt;=$D16,AL$5&lt;=$E16),1,0)</x:f>
        <x:v>0</x:v>
      </x:c>
      <x:c r="AM16" s="36" t="n">
        <x:f>IF(AND(AM$5&gt;=$D16,AM$5&lt;=$E16),1,0)</x:f>
        <x:v>0</x:v>
      </x:c>
      <x:c r="AN16" s="36" t="n">
        <x:f>IF(AND(AN$5&gt;=$D16,AN$5&lt;=$E16),1,0)</x:f>
        <x:v>0</x:v>
      </x:c>
      <x:c r="AO16" s="36" t="n">
        <x:f>IF(AND(AO$5&gt;=$D16,AO$5&lt;=$E16),1,0)</x:f>
        <x:v>0</x:v>
      </x:c>
      <x:c r="AP16" s="36" t="n">
        <x:f>IF(AND(AP$5&gt;=$D16,AP$5&lt;=$E16),1,0)</x:f>
        <x:v>0</x:v>
      </x:c>
      <x:c r="AQ16" s="36" t="n">
        <x:f>IF(AND(AQ$5&gt;=$D16,AQ$5&lt;=$E16),1,0)</x:f>
        <x:v>0</x:v>
      </x:c>
    </x:row>
    <x:row r="17" ht="38" customHeight="1">
      <x:c r="A17" s="9" t="str">
        <x:v>A05</x:v>
      </x:c>
      <x:c r="B17" s="9" t="str">
        <x:v>Approve rights and data-use contract fields</x:v>
      </x:c>
      <x:c r="C17" s="9" t="str">
        <x:v>MD</x:v>
      </x:c>
      <x:c r="D17" s="9" t="n">
        <x:f>ROUNDUP('Tasks'!K17/5,0)</x:f>
        <x:v>1</x:v>
      </x:c>
      <x:c r="E17" s="9" t="n">
        <x:f>ROUNDUP('Tasks'!L17/5,0)</x:f>
        <x:v>2</x:v>
      </x:c>
      <x:c r="F17" s="9" t="str">
        <x:f>'Tasks'!R17</x:f>
        <x:v>Not started</x:v>
      </x:c>
      <x:c r="G17" s="37" t="n">
        <x:f>'Tasks'!S17</x:f>
        <x:v>0</x:v>
      </x:c>
      <x:c r="H17" s="38" t="n">
        <x:f>IF(AND(H$5&gt;=$D17,H$5&lt;=$E17),1,0)</x:f>
        <x:v>1</x:v>
      </x:c>
      <x:c r="I17" s="38" t="n">
        <x:f>IF(AND(I$5&gt;=$D17,I$5&lt;=$E17),1,0)</x:f>
        <x:v>1</x:v>
      </x:c>
      <x:c r="J17" s="38" t="n">
        <x:f>IF(AND(J$5&gt;=$D17,J$5&lt;=$E17),1,0)</x:f>
        <x:v>0</x:v>
      </x:c>
      <x:c r="K17" s="38" t="n">
        <x:f>IF(AND(K$5&gt;=$D17,K$5&lt;=$E17),1,0)</x:f>
        <x:v>0</x:v>
      </x:c>
      <x:c r="L17" s="38" t="n">
        <x:f>IF(AND(L$5&gt;=$D17,L$5&lt;=$E17),1,0)</x:f>
        <x:v>0</x:v>
      </x:c>
      <x:c r="M17" s="38" t="n">
        <x:f>IF(AND(M$5&gt;=$D17,M$5&lt;=$E17),1,0)</x:f>
        <x:v>0</x:v>
      </x:c>
      <x:c r="N17" s="38" t="n">
        <x:f>IF(AND(N$5&gt;=$D17,N$5&lt;=$E17),1,0)</x:f>
        <x:v>0</x:v>
      </x:c>
      <x:c r="O17" s="38" t="n">
        <x:f>IF(AND(O$5&gt;=$D17,O$5&lt;=$E17),1,0)</x:f>
        <x:v>0</x:v>
      </x:c>
      <x:c r="P17" s="38" t="n">
        <x:f>IF(AND(P$5&gt;=$D17,P$5&lt;=$E17),1,0)</x:f>
        <x:v>0</x:v>
      </x:c>
      <x:c r="Q17" s="38" t="n">
        <x:f>IF(AND(Q$5&gt;=$D17,Q$5&lt;=$E17),1,0)</x:f>
        <x:v>0</x:v>
      </x:c>
      <x:c r="R17" s="38" t="n">
        <x:f>IF(AND(R$5&gt;=$D17,R$5&lt;=$E17),1,0)</x:f>
        <x:v>0</x:v>
      </x:c>
      <x:c r="S17" s="38" t="n">
        <x:f>IF(AND(S$5&gt;=$D17,S$5&lt;=$E17),1,0)</x:f>
        <x:v>0</x:v>
      </x:c>
      <x:c r="T17" s="38" t="n">
        <x:f>IF(AND(T$5&gt;=$D17,T$5&lt;=$E17),1,0)</x:f>
        <x:v>0</x:v>
      </x:c>
      <x:c r="U17" s="38" t="n">
        <x:f>IF(AND(U$5&gt;=$D17,U$5&lt;=$E17),1,0)</x:f>
        <x:v>0</x:v>
      </x:c>
      <x:c r="V17" s="38" t="n">
        <x:f>IF(AND(V$5&gt;=$D17,V$5&lt;=$E17),1,0)</x:f>
        <x:v>0</x:v>
      </x:c>
      <x:c r="W17" s="38" t="n">
        <x:f>IF(AND(W$5&gt;=$D17,W$5&lt;=$E17),1,0)</x:f>
        <x:v>0</x:v>
      </x:c>
      <x:c r="X17" s="38" t="n">
        <x:f>IF(AND(X$5&gt;=$D17,X$5&lt;=$E17),1,0)</x:f>
        <x:v>0</x:v>
      </x:c>
      <x:c r="Y17" s="38" t="n">
        <x:f>IF(AND(Y$5&gt;=$D17,Y$5&lt;=$E17),1,0)</x:f>
        <x:v>0</x:v>
      </x:c>
      <x:c r="Z17" s="38" t="n">
        <x:f>IF(AND(Z$5&gt;=$D17,Z$5&lt;=$E17),1,0)</x:f>
        <x:v>0</x:v>
      </x:c>
      <x:c r="AA17" s="38" t="n">
        <x:f>IF(AND(AA$5&gt;=$D17,AA$5&lt;=$E17),1,0)</x:f>
        <x:v>0</x:v>
      </x:c>
      <x:c r="AB17" s="38" t="n">
        <x:f>IF(AND(AB$5&gt;=$D17,AB$5&lt;=$E17),1,0)</x:f>
        <x:v>0</x:v>
      </x:c>
      <x:c r="AC17" s="38" t="n">
        <x:f>IF(AND(AC$5&gt;=$D17,AC$5&lt;=$E17),1,0)</x:f>
        <x:v>0</x:v>
      </x:c>
      <x:c r="AD17" s="38" t="n">
        <x:f>IF(AND(AD$5&gt;=$D17,AD$5&lt;=$E17),1,0)</x:f>
        <x:v>0</x:v>
      </x:c>
      <x:c r="AE17" s="38" t="n">
        <x:f>IF(AND(AE$5&gt;=$D17,AE$5&lt;=$E17),1,0)</x:f>
        <x:v>0</x:v>
      </x:c>
      <x:c r="AF17" s="38" t="n">
        <x:f>IF(AND(AF$5&gt;=$D17,AF$5&lt;=$E17),1,0)</x:f>
        <x:v>0</x:v>
      </x:c>
      <x:c r="AG17" s="38" t="n">
        <x:f>IF(AND(AG$5&gt;=$D17,AG$5&lt;=$E17),1,0)</x:f>
        <x:v>0</x:v>
      </x:c>
      <x:c r="AH17" s="38" t="n">
        <x:f>IF(AND(AH$5&gt;=$D17,AH$5&lt;=$E17),1,0)</x:f>
        <x:v>0</x:v>
      </x:c>
      <x:c r="AI17" s="38" t="n">
        <x:f>IF(AND(AI$5&gt;=$D17,AI$5&lt;=$E17),1,0)</x:f>
        <x:v>0</x:v>
      </x:c>
      <x:c r="AJ17" s="38" t="n">
        <x:f>IF(AND(AJ$5&gt;=$D17,AJ$5&lt;=$E17),1,0)</x:f>
        <x:v>0</x:v>
      </x:c>
      <x:c r="AK17" s="38" t="n">
        <x:f>IF(AND(AK$5&gt;=$D17,AK$5&lt;=$E17),1,0)</x:f>
        <x:v>0</x:v>
      </x:c>
      <x:c r="AL17" s="38" t="n">
        <x:f>IF(AND(AL$5&gt;=$D17,AL$5&lt;=$E17),1,0)</x:f>
        <x:v>0</x:v>
      </x:c>
      <x:c r="AM17" s="38" t="n">
        <x:f>IF(AND(AM$5&gt;=$D17,AM$5&lt;=$E17),1,0)</x:f>
        <x:v>0</x:v>
      </x:c>
      <x:c r="AN17" s="38" t="n">
        <x:f>IF(AND(AN$5&gt;=$D17,AN$5&lt;=$E17),1,0)</x:f>
        <x:v>0</x:v>
      </x:c>
      <x:c r="AO17" s="38" t="n">
        <x:f>IF(AND(AO$5&gt;=$D17,AO$5&lt;=$E17),1,0)</x:f>
        <x:v>0</x:v>
      </x:c>
      <x:c r="AP17" s="38" t="n">
        <x:f>IF(AND(AP$5&gt;=$D17,AP$5&lt;=$E17),1,0)</x:f>
        <x:v>0</x:v>
      </x:c>
      <x:c r="AQ17" s="38" t="n">
        <x:f>IF(AND(AQ$5&gt;=$D17,AQ$5&lt;=$E17),1,0)</x:f>
        <x:v>0</x:v>
      </x:c>
    </x:row>
    <x:row r="18" ht="38" customHeight="1">
      <x:c r="A18" s="10" t="str">
        <x:v>A06</x:v>
      </x:c>
      <x:c r="B18" s="10" t="str">
        <x:v>Approve hosting and access architecture</x:v>
      </x:c>
      <x:c r="C18" s="10" t="str">
        <x:v>SEC</x:v>
      </x:c>
      <x:c r="D18" s="10" t="n">
        <x:f>ROUNDUP('Tasks'!K18/5,0)</x:f>
        <x:v>1</x:v>
      </x:c>
      <x:c r="E18" s="10" t="n">
        <x:f>ROUNDUP('Tasks'!L18/5,0)</x:f>
        <x:v>2</x:v>
      </x:c>
      <x:c r="F18" s="10" t="str">
        <x:f>'Tasks'!R18</x:f>
        <x:v>Not started</x:v>
      </x:c>
      <x:c r="G18" s="35" t="n">
        <x:f>'Tasks'!S18</x:f>
        <x:v>0</x:v>
      </x:c>
      <x:c r="H18" s="36" t="n">
        <x:f>IF(AND(H$5&gt;=$D18,H$5&lt;=$E18),1,0)</x:f>
        <x:v>1</x:v>
      </x:c>
      <x:c r="I18" s="36" t="n">
        <x:f>IF(AND(I$5&gt;=$D18,I$5&lt;=$E18),1,0)</x:f>
        <x:v>1</x:v>
      </x:c>
      <x:c r="J18" s="36" t="n">
        <x:f>IF(AND(J$5&gt;=$D18,J$5&lt;=$E18),1,0)</x:f>
        <x:v>0</x:v>
      </x:c>
      <x:c r="K18" s="36" t="n">
        <x:f>IF(AND(K$5&gt;=$D18,K$5&lt;=$E18),1,0)</x:f>
        <x:v>0</x:v>
      </x:c>
      <x:c r="L18" s="36" t="n">
        <x:f>IF(AND(L$5&gt;=$D18,L$5&lt;=$E18),1,0)</x:f>
        <x:v>0</x:v>
      </x:c>
      <x:c r="M18" s="36" t="n">
        <x:f>IF(AND(M$5&gt;=$D18,M$5&lt;=$E18),1,0)</x:f>
        <x:v>0</x:v>
      </x:c>
      <x:c r="N18" s="36" t="n">
        <x:f>IF(AND(N$5&gt;=$D18,N$5&lt;=$E18),1,0)</x:f>
        <x:v>0</x:v>
      </x:c>
      <x:c r="O18" s="36" t="n">
        <x:f>IF(AND(O$5&gt;=$D18,O$5&lt;=$E18),1,0)</x:f>
        <x:v>0</x:v>
      </x:c>
      <x:c r="P18" s="36" t="n">
        <x:f>IF(AND(P$5&gt;=$D18,P$5&lt;=$E18),1,0)</x:f>
        <x:v>0</x:v>
      </x:c>
      <x:c r="Q18" s="36" t="n">
        <x:f>IF(AND(Q$5&gt;=$D18,Q$5&lt;=$E18),1,0)</x:f>
        <x:v>0</x:v>
      </x:c>
      <x:c r="R18" s="36" t="n">
        <x:f>IF(AND(R$5&gt;=$D18,R$5&lt;=$E18),1,0)</x:f>
        <x:v>0</x:v>
      </x:c>
      <x:c r="S18" s="36" t="n">
        <x:f>IF(AND(S$5&gt;=$D18,S$5&lt;=$E18),1,0)</x:f>
        <x:v>0</x:v>
      </x:c>
      <x:c r="T18" s="36" t="n">
        <x:f>IF(AND(T$5&gt;=$D18,T$5&lt;=$E18),1,0)</x:f>
        <x:v>0</x:v>
      </x:c>
      <x:c r="U18" s="36" t="n">
        <x:f>IF(AND(U$5&gt;=$D18,U$5&lt;=$E18),1,0)</x:f>
        <x:v>0</x:v>
      </x:c>
      <x:c r="V18" s="36" t="n">
        <x:f>IF(AND(V$5&gt;=$D18,V$5&lt;=$E18),1,0)</x:f>
        <x:v>0</x:v>
      </x:c>
      <x:c r="W18" s="36" t="n">
        <x:f>IF(AND(W$5&gt;=$D18,W$5&lt;=$E18),1,0)</x:f>
        <x:v>0</x:v>
      </x:c>
      <x:c r="X18" s="36" t="n">
        <x:f>IF(AND(X$5&gt;=$D18,X$5&lt;=$E18),1,0)</x:f>
        <x:v>0</x:v>
      </x:c>
      <x:c r="Y18" s="36" t="n">
        <x:f>IF(AND(Y$5&gt;=$D18,Y$5&lt;=$E18),1,0)</x:f>
        <x:v>0</x:v>
      </x:c>
      <x:c r="Z18" s="36" t="n">
        <x:f>IF(AND(Z$5&gt;=$D18,Z$5&lt;=$E18),1,0)</x:f>
        <x:v>0</x:v>
      </x:c>
      <x:c r="AA18" s="36" t="n">
        <x:f>IF(AND(AA$5&gt;=$D18,AA$5&lt;=$E18),1,0)</x:f>
        <x:v>0</x:v>
      </x:c>
      <x:c r="AB18" s="36" t="n">
        <x:f>IF(AND(AB$5&gt;=$D18,AB$5&lt;=$E18),1,0)</x:f>
        <x:v>0</x:v>
      </x:c>
      <x:c r="AC18" s="36" t="n">
        <x:f>IF(AND(AC$5&gt;=$D18,AC$5&lt;=$E18),1,0)</x:f>
        <x:v>0</x:v>
      </x:c>
      <x:c r="AD18" s="36" t="n">
        <x:f>IF(AND(AD$5&gt;=$D18,AD$5&lt;=$E18),1,0)</x:f>
        <x:v>0</x:v>
      </x:c>
      <x:c r="AE18" s="36" t="n">
        <x:f>IF(AND(AE$5&gt;=$D18,AE$5&lt;=$E18),1,0)</x:f>
        <x:v>0</x:v>
      </x:c>
      <x:c r="AF18" s="36" t="n">
        <x:f>IF(AND(AF$5&gt;=$D18,AF$5&lt;=$E18),1,0)</x:f>
        <x:v>0</x:v>
      </x:c>
      <x:c r="AG18" s="36" t="n">
        <x:f>IF(AND(AG$5&gt;=$D18,AG$5&lt;=$E18),1,0)</x:f>
        <x:v>0</x:v>
      </x:c>
      <x:c r="AH18" s="36" t="n">
        <x:f>IF(AND(AH$5&gt;=$D18,AH$5&lt;=$E18),1,0)</x:f>
        <x:v>0</x:v>
      </x:c>
      <x:c r="AI18" s="36" t="n">
        <x:f>IF(AND(AI$5&gt;=$D18,AI$5&lt;=$E18),1,0)</x:f>
        <x:v>0</x:v>
      </x:c>
      <x:c r="AJ18" s="36" t="n">
        <x:f>IF(AND(AJ$5&gt;=$D18,AJ$5&lt;=$E18),1,0)</x:f>
        <x:v>0</x:v>
      </x:c>
      <x:c r="AK18" s="36" t="n">
        <x:f>IF(AND(AK$5&gt;=$D18,AK$5&lt;=$E18),1,0)</x:f>
        <x:v>0</x:v>
      </x:c>
      <x:c r="AL18" s="36" t="n">
        <x:f>IF(AND(AL$5&gt;=$D18,AL$5&lt;=$E18),1,0)</x:f>
        <x:v>0</x:v>
      </x:c>
      <x:c r="AM18" s="36" t="n">
        <x:f>IF(AND(AM$5&gt;=$D18,AM$5&lt;=$E18),1,0)</x:f>
        <x:v>0</x:v>
      </x:c>
      <x:c r="AN18" s="36" t="n">
        <x:f>IF(AND(AN$5&gt;=$D18,AN$5&lt;=$E18),1,0)</x:f>
        <x:v>0</x:v>
      </x:c>
      <x:c r="AO18" s="36" t="n">
        <x:f>IF(AND(AO$5&gt;=$D18,AO$5&lt;=$E18),1,0)</x:f>
        <x:v>0</x:v>
      </x:c>
      <x:c r="AP18" s="36" t="n">
        <x:f>IF(AND(AP$5&gt;=$D18,AP$5&lt;=$E18),1,0)</x:f>
        <x:v>0</x:v>
      </x:c>
      <x:c r="AQ18" s="36" t="n">
        <x:f>IF(AND(AQ$5&gt;=$D18,AQ$5&lt;=$E18),1,0)</x:f>
        <x:v>0</x:v>
      </x:c>
    </x:row>
    <x:row r="19" ht="38" customHeight="1">
      <x:c r="A19" s="9" t="str">
        <x:v>A07</x:v>
      </x:c>
      <x:c r="B19" s="9" t="str">
        <x:v>Create annotation and acceptance rubrics</x:v>
      </x:c>
      <x:c r="C19" s="9" t="str">
        <x:v>TD</x:v>
      </x:c>
      <x:c r="D19" s="9" t="n">
        <x:f>ROUNDUP('Tasks'!K19/5,0)</x:f>
        <x:v>1</x:v>
      </x:c>
      <x:c r="E19" s="9" t="n">
        <x:f>ROUNDUP('Tasks'!L19/5,0)</x:f>
        <x:v>2</x:v>
      </x:c>
      <x:c r="F19" s="9" t="str">
        <x:f>'Tasks'!R19</x:f>
        <x:v>Not started</x:v>
      </x:c>
      <x:c r="G19" s="37" t="n">
        <x:f>'Tasks'!S19</x:f>
        <x:v>0</x:v>
      </x:c>
      <x:c r="H19" s="38" t="n">
        <x:f>IF(AND(H$5&gt;=$D19,H$5&lt;=$E19),1,0)</x:f>
        <x:v>1</x:v>
      </x:c>
      <x:c r="I19" s="38" t="n">
        <x:f>IF(AND(I$5&gt;=$D19,I$5&lt;=$E19),1,0)</x:f>
        <x:v>1</x:v>
      </x:c>
      <x:c r="J19" s="38" t="n">
        <x:f>IF(AND(J$5&gt;=$D19,J$5&lt;=$E19),1,0)</x:f>
        <x:v>0</x:v>
      </x:c>
      <x:c r="K19" s="38" t="n">
        <x:f>IF(AND(K$5&gt;=$D19,K$5&lt;=$E19),1,0)</x:f>
        <x:v>0</x:v>
      </x:c>
      <x:c r="L19" s="38" t="n">
        <x:f>IF(AND(L$5&gt;=$D19,L$5&lt;=$E19),1,0)</x:f>
        <x:v>0</x:v>
      </x:c>
      <x:c r="M19" s="38" t="n">
        <x:f>IF(AND(M$5&gt;=$D19,M$5&lt;=$E19),1,0)</x:f>
        <x:v>0</x:v>
      </x:c>
      <x:c r="N19" s="38" t="n">
        <x:f>IF(AND(N$5&gt;=$D19,N$5&lt;=$E19),1,0)</x:f>
        <x:v>0</x:v>
      </x:c>
      <x:c r="O19" s="38" t="n">
        <x:f>IF(AND(O$5&gt;=$D19,O$5&lt;=$E19),1,0)</x:f>
        <x:v>0</x:v>
      </x:c>
      <x:c r="P19" s="38" t="n">
        <x:f>IF(AND(P$5&gt;=$D19,P$5&lt;=$E19),1,0)</x:f>
        <x:v>0</x:v>
      </x:c>
      <x:c r="Q19" s="38" t="n">
        <x:f>IF(AND(Q$5&gt;=$D19,Q$5&lt;=$E19),1,0)</x:f>
        <x:v>0</x:v>
      </x:c>
      <x:c r="R19" s="38" t="n">
        <x:f>IF(AND(R$5&gt;=$D19,R$5&lt;=$E19),1,0)</x:f>
        <x:v>0</x:v>
      </x:c>
      <x:c r="S19" s="38" t="n">
        <x:f>IF(AND(S$5&gt;=$D19,S$5&lt;=$E19),1,0)</x:f>
        <x:v>0</x:v>
      </x:c>
      <x:c r="T19" s="38" t="n">
        <x:f>IF(AND(T$5&gt;=$D19,T$5&lt;=$E19),1,0)</x:f>
        <x:v>0</x:v>
      </x:c>
      <x:c r="U19" s="38" t="n">
        <x:f>IF(AND(U$5&gt;=$D19,U$5&lt;=$E19),1,0)</x:f>
        <x:v>0</x:v>
      </x:c>
      <x:c r="V19" s="38" t="n">
        <x:f>IF(AND(V$5&gt;=$D19,V$5&lt;=$E19),1,0)</x:f>
        <x:v>0</x:v>
      </x:c>
      <x:c r="W19" s="38" t="n">
        <x:f>IF(AND(W$5&gt;=$D19,W$5&lt;=$E19),1,0)</x:f>
        <x:v>0</x:v>
      </x:c>
      <x:c r="X19" s="38" t="n">
        <x:f>IF(AND(X$5&gt;=$D19,X$5&lt;=$E19),1,0)</x:f>
        <x:v>0</x:v>
      </x:c>
      <x:c r="Y19" s="38" t="n">
        <x:f>IF(AND(Y$5&gt;=$D19,Y$5&lt;=$E19),1,0)</x:f>
        <x:v>0</x:v>
      </x:c>
      <x:c r="Z19" s="38" t="n">
        <x:f>IF(AND(Z$5&gt;=$D19,Z$5&lt;=$E19),1,0)</x:f>
        <x:v>0</x:v>
      </x:c>
      <x:c r="AA19" s="38" t="n">
        <x:f>IF(AND(AA$5&gt;=$D19,AA$5&lt;=$E19),1,0)</x:f>
        <x:v>0</x:v>
      </x:c>
      <x:c r="AB19" s="38" t="n">
        <x:f>IF(AND(AB$5&gt;=$D19,AB$5&lt;=$E19),1,0)</x:f>
        <x:v>0</x:v>
      </x:c>
      <x:c r="AC19" s="38" t="n">
        <x:f>IF(AND(AC$5&gt;=$D19,AC$5&lt;=$E19),1,0)</x:f>
        <x:v>0</x:v>
      </x:c>
      <x:c r="AD19" s="38" t="n">
        <x:f>IF(AND(AD$5&gt;=$D19,AD$5&lt;=$E19),1,0)</x:f>
        <x:v>0</x:v>
      </x:c>
      <x:c r="AE19" s="38" t="n">
        <x:f>IF(AND(AE$5&gt;=$D19,AE$5&lt;=$E19),1,0)</x:f>
        <x:v>0</x:v>
      </x:c>
      <x:c r="AF19" s="38" t="n">
        <x:f>IF(AND(AF$5&gt;=$D19,AF$5&lt;=$E19),1,0)</x:f>
        <x:v>0</x:v>
      </x:c>
      <x:c r="AG19" s="38" t="n">
        <x:f>IF(AND(AG$5&gt;=$D19,AG$5&lt;=$E19),1,0)</x:f>
        <x:v>0</x:v>
      </x:c>
      <x:c r="AH19" s="38" t="n">
        <x:f>IF(AND(AH$5&gt;=$D19,AH$5&lt;=$E19),1,0)</x:f>
        <x:v>0</x:v>
      </x:c>
      <x:c r="AI19" s="38" t="n">
        <x:f>IF(AND(AI$5&gt;=$D19,AI$5&lt;=$E19),1,0)</x:f>
        <x:v>0</x:v>
      </x:c>
      <x:c r="AJ19" s="38" t="n">
        <x:f>IF(AND(AJ$5&gt;=$D19,AJ$5&lt;=$E19),1,0)</x:f>
        <x:v>0</x:v>
      </x:c>
      <x:c r="AK19" s="38" t="n">
        <x:f>IF(AND(AK$5&gt;=$D19,AK$5&lt;=$E19),1,0)</x:f>
        <x:v>0</x:v>
      </x:c>
      <x:c r="AL19" s="38" t="n">
        <x:f>IF(AND(AL$5&gt;=$D19,AL$5&lt;=$E19),1,0)</x:f>
        <x:v>0</x:v>
      </x:c>
      <x:c r="AM19" s="38" t="n">
        <x:f>IF(AND(AM$5&gt;=$D19,AM$5&lt;=$E19),1,0)</x:f>
        <x:v>0</x:v>
      </x:c>
      <x:c r="AN19" s="38" t="n">
        <x:f>IF(AND(AN$5&gt;=$D19,AN$5&lt;=$E19),1,0)</x:f>
        <x:v>0</x:v>
      </x:c>
      <x:c r="AO19" s="38" t="n">
        <x:f>IF(AND(AO$5&gt;=$D19,AO$5&lt;=$E19),1,0)</x:f>
        <x:v>0</x:v>
      </x:c>
      <x:c r="AP19" s="38" t="n">
        <x:f>IF(AND(AP$5&gt;=$D19,AP$5&lt;=$E19),1,0)</x:f>
        <x:v>0</x:v>
      </x:c>
      <x:c r="AQ19" s="38" t="n">
        <x:f>IF(AND(AQ$5&gt;=$D19,AQ$5&lt;=$E19),1,0)</x:f>
        <x:v>0</x:v>
      </x:c>
    </x:row>
    <x:row r="20" ht="38" customHeight="1">
      <x:c r="A20" s="10" t="str">
        <x:v>G0</x:v>
      </x:c>
      <x:c r="B20" s="10" t="str">
        <x:v>G0 authorize baseline work</x:v>
      </x:c>
      <x:c r="C20" s="10" t="str">
        <x:v>MD</x:v>
      </x:c>
      <x:c r="D20" s="10" t="n">
        <x:f>ROUNDUP('Tasks'!K20/5,0)</x:f>
        <x:v>2</x:v>
      </x:c>
      <x:c r="E20" s="10" t="n">
        <x:f>ROUNDUP('Tasks'!L20/5,0)</x:f>
        <x:v>2</x:v>
      </x:c>
      <x:c r="F20" s="10" t="str">
        <x:f>'Tasks'!R20</x:f>
        <x:v>Not started</x:v>
      </x:c>
      <x:c r="G20" s="35" t="n">
        <x:f>'Tasks'!S20</x:f>
        <x:v>0</x:v>
      </x:c>
      <x:c r="H20" s="36" t="n">
        <x:f>IF(AND(H$5&gt;=$D20,H$5&lt;=$E20),1,0)</x:f>
        <x:v>0</x:v>
      </x:c>
      <x:c r="I20" s="36" t="n">
        <x:f>IF(AND(I$5&gt;=$D20,I$5&lt;=$E20),1,0)</x:f>
        <x:v>1</x:v>
      </x:c>
      <x:c r="J20" s="36" t="n">
        <x:f>IF(AND(J$5&gt;=$D20,J$5&lt;=$E20),1,0)</x:f>
        <x:v>0</x:v>
      </x:c>
      <x:c r="K20" s="36" t="n">
        <x:f>IF(AND(K$5&gt;=$D20,K$5&lt;=$E20),1,0)</x:f>
        <x:v>0</x:v>
      </x:c>
      <x:c r="L20" s="36" t="n">
        <x:f>IF(AND(L$5&gt;=$D20,L$5&lt;=$E20),1,0)</x:f>
        <x:v>0</x:v>
      </x:c>
      <x:c r="M20" s="36" t="n">
        <x:f>IF(AND(M$5&gt;=$D20,M$5&lt;=$E20),1,0)</x:f>
        <x:v>0</x:v>
      </x:c>
      <x:c r="N20" s="36" t="n">
        <x:f>IF(AND(N$5&gt;=$D20,N$5&lt;=$E20),1,0)</x:f>
        <x:v>0</x:v>
      </x:c>
      <x:c r="O20" s="36" t="n">
        <x:f>IF(AND(O$5&gt;=$D20,O$5&lt;=$E20),1,0)</x:f>
        <x:v>0</x:v>
      </x:c>
      <x:c r="P20" s="36" t="n">
        <x:f>IF(AND(P$5&gt;=$D20,P$5&lt;=$E20),1,0)</x:f>
        <x:v>0</x:v>
      </x:c>
      <x:c r="Q20" s="36" t="n">
        <x:f>IF(AND(Q$5&gt;=$D20,Q$5&lt;=$E20),1,0)</x:f>
        <x:v>0</x:v>
      </x:c>
      <x:c r="R20" s="36" t="n">
        <x:f>IF(AND(R$5&gt;=$D20,R$5&lt;=$E20),1,0)</x:f>
        <x:v>0</x:v>
      </x:c>
      <x:c r="S20" s="36" t="n">
        <x:f>IF(AND(S$5&gt;=$D20,S$5&lt;=$E20),1,0)</x:f>
        <x:v>0</x:v>
      </x:c>
      <x:c r="T20" s="36" t="n">
        <x:f>IF(AND(T$5&gt;=$D20,T$5&lt;=$E20),1,0)</x:f>
        <x:v>0</x:v>
      </x:c>
      <x:c r="U20" s="36" t="n">
        <x:f>IF(AND(U$5&gt;=$D20,U$5&lt;=$E20),1,0)</x:f>
        <x:v>0</x:v>
      </x:c>
      <x:c r="V20" s="36" t="n">
        <x:f>IF(AND(V$5&gt;=$D20,V$5&lt;=$E20),1,0)</x:f>
        <x:v>0</x:v>
      </x:c>
      <x:c r="W20" s="36" t="n">
        <x:f>IF(AND(W$5&gt;=$D20,W$5&lt;=$E20),1,0)</x:f>
        <x:v>0</x:v>
      </x:c>
      <x:c r="X20" s="36" t="n">
        <x:f>IF(AND(X$5&gt;=$D20,X$5&lt;=$E20),1,0)</x:f>
        <x:v>0</x:v>
      </x:c>
      <x:c r="Y20" s="36" t="n">
        <x:f>IF(AND(Y$5&gt;=$D20,Y$5&lt;=$E20),1,0)</x:f>
        <x:v>0</x:v>
      </x:c>
      <x:c r="Z20" s="36" t="n">
        <x:f>IF(AND(Z$5&gt;=$D20,Z$5&lt;=$E20),1,0)</x:f>
        <x:v>0</x:v>
      </x:c>
      <x:c r="AA20" s="36" t="n">
        <x:f>IF(AND(AA$5&gt;=$D20,AA$5&lt;=$E20),1,0)</x:f>
        <x:v>0</x:v>
      </x:c>
      <x:c r="AB20" s="36" t="n">
        <x:f>IF(AND(AB$5&gt;=$D20,AB$5&lt;=$E20),1,0)</x:f>
        <x:v>0</x:v>
      </x:c>
      <x:c r="AC20" s="36" t="n">
        <x:f>IF(AND(AC$5&gt;=$D20,AC$5&lt;=$E20),1,0)</x:f>
        <x:v>0</x:v>
      </x:c>
      <x:c r="AD20" s="36" t="n">
        <x:f>IF(AND(AD$5&gt;=$D20,AD$5&lt;=$E20),1,0)</x:f>
        <x:v>0</x:v>
      </x:c>
      <x:c r="AE20" s="36" t="n">
        <x:f>IF(AND(AE$5&gt;=$D20,AE$5&lt;=$E20),1,0)</x:f>
        <x:v>0</x:v>
      </x:c>
      <x:c r="AF20" s="36" t="n">
        <x:f>IF(AND(AF$5&gt;=$D20,AF$5&lt;=$E20),1,0)</x:f>
        <x:v>0</x:v>
      </x:c>
      <x:c r="AG20" s="36" t="n">
        <x:f>IF(AND(AG$5&gt;=$D20,AG$5&lt;=$E20),1,0)</x:f>
        <x:v>0</x:v>
      </x:c>
      <x:c r="AH20" s="36" t="n">
        <x:f>IF(AND(AH$5&gt;=$D20,AH$5&lt;=$E20),1,0)</x:f>
        <x:v>0</x:v>
      </x:c>
      <x:c r="AI20" s="36" t="n">
        <x:f>IF(AND(AI$5&gt;=$D20,AI$5&lt;=$E20),1,0)</x:f>
        <x:v>0</x:v>
      </x:c>
      <x:c r="AJ20" s="36" t="n">
        <x:f>IF(AND(AJ$5&gt;=$D20,AJ$5&lt;=$E20),1,0)</x:f>
        <x:v>0</x:v>
      </x:c>
      <x:c r="AK20" s="36" t="n">
        <x:f>IF(AND(AK$5&gt;=$D20,AK$5&lt;=$E20),1,0)</x:f>
        <x:v>0</x:v>
      </x:c>
      <x:c r="AL20" s="36" t="n">
        <x:f>IF(AND(AL$5&gt;=$D20,AL$5&lt;=$E20),1,0)</x:f>
        <x:v>0</x:v>
      </x:c>
      <x:c r="AM20" s="36" t="n">
        <x:f>IF(AND(AM$5&gt;=$D20,AM$5&lt;=$E20),1,0)</x:f>
        <x:v>0</x:v>
      </x:c>
      <x:c r="AN20" s="36" t="n">
        <x:f>IF(AND(AN$5&gt;=$D20,AN$5&lt;=$E20),1,0)</x:f>
        <x:v>0</x:v>
      </x:c>
      <x:c r="AO20" s="36" t="n">
        <x:f>IF(AND(AO$5&gt;=$D20,AO$5&lt;=$E20),1,0)</x:f>
        <x:v>0</x:v>
      </x:c>
      <x:c r="AP20" s="36" t="n">
        <x:f>IF(AND(AP$5&gt;=$D20,AP$5&lt;=$E20),1,0)</x:f>
        <x:v>0</x:v>
      </x:c>
      <x:c r="AQ20" s="36" t="n">
        <x:f>IF(AND(AQ$5&gt;=$D20,AQ$5&lt;=$E20),1,0)</x:f>
        <x:v>0</x:v>
      </x:c>
    </x:row>
    <x:row r="21" ht="38" customHeight="1">
      <x:c r="A21" s="9" t="str">
        <x:v>C01</x:v>
      </x:c>
      <x:c r="B21" s="9" t="str">
        <x:v>Build intake manifest and quarantine handler</x:v>
      </x:c>
      <x:c r="C21" s="9" t="str">
        <x:v>AI</x:v>
      </x:c>
      <x:c r="D21" s="9" t="n">
        <x:f>ROUNDUP('Tasks'!K21/5,0)</x:f>
        <x:v>3</x:v>
      </x:c>
      <x:c r="E21" s="9" t="n">
        <x:f>ROUNDUP('Tasks'!L21/5,0)</x:f>
        <x:v>4</x:v>
      </x:c>
      <x:c r="F21" s="9" t="str">
        <x:f>'Tasks'!R21</x:f>
        <x:v>Not started</x:v>
      </x:c>
      <x:c r="G21" s="37" t="n">
        <x:f>'Tasks'!S21</x:f>
        <x:v>0</x:v>
      </x:c>
      <x:c r="H21" s="38" t="n">
        <x:f>IF(AND(H$5&gt;=$D21,H$5&lt;=$E21),1,0)</x:f>
        <x:v>0</x:v>
      </x:c>
      <x:c r="I21" s="38" t="n">
        <x:f>IF(AND(I$5&gt;=$D21,I$5&lt;=$E21),1,0)</x:f>
        <x:v>0</x:v>
      </x:c>
      <x:c r="J21" s="38" t="n">
        <x:f>IF(AND(J$5&gt;=$D21,J$5&lt;=$E21),1,0)</x:f>
        <x:v>1</x:v>
      </x:c>
      <x:c r="K21" s="38" t="n">
        <x:f>IF(AND(K$5&gt;=$D21,K$5&lt;=$E21),1,0)</x:f>
        <x:v>1</x:v>
      </x:c>
      <x:c r="L21" s="38" t="n">
        <x:f>IF(AND(L$5&gt;=$D21,L$5&lt;=$E21),1,0)</x:f>
        <x:v>0</x:v>
      </x:c>
      <x:c r="M21" s="38" t="n">
        <x:f>IF(AND(M$5&gt;=$D21,M$5&lt;=$E21),1,0)</x:f>
        <x:v>0</x:v>
      </x:c>
      <x:c r="N21" s="38" t="n">
        <x:f>IF(AND(N$5&gt;=$D21,N$5&lt;=$E21),1,0)</x:f>
        <x:v>0</x:v>
      </x:c>
      <x:c r="O21" s="38" t="n">
        <x:f>IF(AND(O$5&gt;=$D21,O$5&lt;=$E21),1,0)</x:f>
        <x:v>0</x:v>
      </x:c>
      <x:c r="P21" s="38" t="n">
        <x:f>IF(AND(P$5&gt;=$D21,P$5&lt;=$E21),1,0)</x:f>
        <x:v>0</x:v>
      </x:c>
      <x:c r="Q21" s="38" t="n">
        <x:f>IF(AND(Q$5&gt;=$D21,Q$5&lt;=$E21),1,0)</x:f>
        <x:v>0</x:v>
      </x:c>
      <x:c r="R21" s="38" t="n">
        <x:f>IF(AND(R$5&gt;=$D21,R$5&lt;=$E21),1,0)</x:f>
        <x:v>0</x:v>
      </x:c>
      <x:c r="S21" s="38" t="n">
        <x:f>IF(AND(S$5&gt;=$D21,S$5&lt;=$E21),1,0)</x:f>
        <x:v>0</x:v>
      </x:c>
      <x:c r="T21" s="38" t="n">
        <x:f>IF(AND(T$5&gt;=$D21,T$5&lt;=$E21),1,0)</x:f>
        <x:v>0</x:v>
      </x:c>
      <x:c r="U21" s="38" t="n">
        <x:f>IF(AND(U$5&gt;=$D21,U$5&lt;=$E21),1,0)</x:f>
        <x:v>0</x:v>
      </x:c>
      <x:c r="V21" s="38" t="n">
        <x:f>IF(AND(V$5&gt;=$D21,V$5&lt;=$E21),1,0)</x:f>
        <x:v>0</x:v>
      </x:c>
      <x:c r="W21" s="38" t="n">
        <x:f>IF(AND(W$5&gt;=$D21,W$5&lt;=$E21),1,0)</x:f>
        <x:v>0</x:v>
      </x:c>
      <x:c r="X21" s="38" t="n">
        <x:f>IF(AND(X$5&gt;=$D21,X$5&lt;=$E21),1,0)</x:f>
        <x:v>0</x:v>
      </x:c>
      <x:c r="Y21" s="38" t="n">
        <x:f>IF(AND(Y$5&gt;=$D21,Y$5&lt;=$E21),1,0)</x:f>
        <x:v>0</x:v>
      </x:c>
      <x:c r="Z21" s="38" t="n">
        <x:f>IF(AND(Z$5&gt;=$D21,Z$5&lt;=$E21),1,0)</x:f>
        <x:v>0</x:v>
      </x:c>
      <x:c r="AA21" s="38" t="n">
        <x:f>IF(AND(AA$5&gt;=$D21,AA$5&lt;=$E21),1,0)</x:f>
        <x:v>0</x:v>
      </x:c>
      <x:c r="AB21" s="38" t="n">
        <x:f>IF(AND(AB$5&gt;=$D21,AB$5&lt;=$E21),1,0)</x:f>
        <x:v>0</x:v>
      </x:c>
      <x:c r="AC21" s="38" t="n">
        <x:f>IF(AND(AC$5&gt;=$D21,AC$5&lt;=$E21),1,0)</x:f>
        <x:v>0</x:v>
      </x:c>
      <x:c r="AD21" s="38" t="n">
        <x:f>IF(AND(AD$5&gt;=$D21,AD$5&lt;=$E21),1,0)</x:f>
        <x:v>0</x:v>
      </x:c>
      <x:c r="AE21" s="38" t="n">
        <x:f>IF(AND(AE$5&gt;=$D21,AE$5&lt;=$E21),1,0)</x:f>
        <x:v>0</x:v>
      </x:c>
      <x:c r="AF21" s="38" t="n">
        <x:f>IF(AND(AF$5&gt;=$D21,AF$5&lt;=$E21),1,0)</x:f>
        <x:v>0</x:v>
      </x:c>
      <x:c r="AG21" s="38" t="n">
        <x:f>IF(AND(AG$5&gt;=$D21,AG$5&lt;=$E21),1,0)</x:f>
        <x:v>0</x:v>
      </x:c>
      <x:c r="AH21" s="38" t="n">
        <x:f>IF(AND(AH$5&gt;=$D21,AH$5&lt;=$E21),1,0)</x:f>
        <x:v>0</x:v>
      </x:c>
      <x:c r="AI21" s="38" t="n">
        <x:f>IF(AND(AI$5&gt;=$D21,AI$5&lt;=$E21),1,0)</x:f>
        <x:v>0</x:v>
      </x:c>
      <x:c r="AJ21" s="38" t="n">
        <x:f>IF(AND(AJ$5&gt;=$D21,AJ$5&lt;=$E21),1,0)</x:f>
        <x:v>0</x:v>
      </x:c>
      <x:c r="AK21" s="38" t="n">
        <x:f>IF(AND(AK$5&gt;=$D21,AK$5&lt;=$E21),1,0)</x:f>
        <x:v>0</x:v>
      </x:c>
      <x:c r="AL21" s="38" t="n">
        <x:f>IF(AND(AL$5&gt;=$D21,AL$5&lt;=$E21),1,0)</x:f>
        <x:v>0</x:v>
      </x:c>
      <x:c r="AM21" s="38" t="n">
        <x:f>IF(AND(AM$5&gt;=$D21,AM$5&lt;=$E21),1,0)</x:f>
        <x:v>0</x:v>
      </x:c>
      <x:c r="AN21" s="38" t="n">
        <x:f>IF(AND(AN$5&gt;=$D21,AN$5&lt;=$E21),1,0)</x:f>
        <x:v>0</x:v>
      </x:c>
      <x:c r="AO21" s="38" t="n">
        <x:f>IF(AND(AO$5&gt;=$D21,AO$5&lt;=$E21),1,0)</x:f>
        <x:v>0</x:v>
      </x:c>
      <x:c r="AP21" s="38" t="n">
        <x:f>IF(AND(AP$5&gt;=$D21,AP$5&lt;=$E21),1,0)</x:f>
        <x:v>0</x:v>
      </x:c>
      <x:c r="AQ21" s="38" t="n">
        <x:f>IF(AND(AQ$5&gt;=$D21,AQ$5&lt;=$E21),1,0)</x:f>
        <x:v>0</x:v>
      </x:c>
    </x:row>
    <x:row r="22" ht="38" customHeight="1">
      <x:c r="A22" s="10" t="str">
        <x:v>C02</x:v>
      </x:c>
      <x:c r="B22" s="10" t="str">
        <x:v>Acquire first cleared document sample</x:v>
      </x:c>
      <x:c r="C22" s="10" t="str">
        <x:v>KE</x:v>
      </x:c>
      <x:c r="D22" s="10" t="n">
        <x:f>ROUNDUP('Tasks'!K22/5,0)</x:f>
        <x:v>3</x:v>
      </x:c>
      <x:c r="E22" s="10" t="n">
        <x:f>ROUNDUP('Tasks'!L22/5,0)</x:f>
        <x:v>4</x:v>
      </x:c>
      <x:c r="F22" s="10" t="str">
        <x:f>'Tasks'!R22</x:f>
        <x:v>Not started</x:v>
      </x:c>
      <x:c r="G22" s="35" t="n">
        <x:f>'Tasks'!S22</x:f>
        <x:v>0</x:v>
      </x:c>
      <x:c r="H22" s="36" t="n">
        <x:f>IF(AND(H$5&gt;=$D22,H$5&lt;=$E22),1,0)</x:f>
        <x:v>0</x:v>
      </x:c>
      <x:c r="I22" s="36" t="n">
        <x:f>IF(AND(I$5&gt;=$D22,I$5&lt;=$E22),1,0)</x:f>
        <x:v>0</x:v>
      </x:c>
      <x:c r="J22" s="36" t="n">
        <x:f>IF(AND(J$5&gt;=$D22,J$5&lt;=$E22),1,0)</x:f>
        <x:v>1</x:v>
      </x:c>
      <x:c r="K22" s="36" t="n">
        <x:f>IF(AND(K$5&gt;=$D22,K$5&lt;=$E22),1,0)</x:f>
        <x:v>1</x:v>
      </x:c>
      <x:c r="L22" s="36" t="n">
        <x:f>IF(AND(L$5&gt;=$D22,L$5&lt;=$E22),1,0)</x:f>
        <x:v>0</x:v>
      </x:c>
      <x:c r="M22" s="36" t="n">
        <x:f>IF(AND(M$5&gt;=$D22,M$5&lt;=$E22),1,0)</x:f>
        <x:v>0</x:v>
      </x:c>
      <x:c r="N22" s="36" t="n">
        <x:f>IF(AND(N$5&gt;=$D22,N$5&lt;=$E22),1,0)</x:f>
        <x:v>0</x:v>
      </x:c>
      <x:c r="O22" s="36" t="n">
        <x:f>IF(AND(O$5&gt;=$D22,O$5&lt;=$E22),1,0)</x:f>
        <x:v>0</x:v>
      </x:c>
      <x:c r="P22" s="36" t="n">
        <x:f>IF(AND(P$5&gt;=$D22,P$5&lt;=$E22),1,0)</x:f>
        <x:v>0</x:v>
      </x:c>
      <x:c r="Q22" s="36" t="n">
        <x:f>IF(AND(Q$5&gt;=$D22,Q$5&lt;=$E22),1,0)</x:f>
        <x:v>0</x:v>
      </x:c>
      <x:c r="R22" s="36" t="n">
        <x:f>IF(AND(R$5&gt;=$D22,R$5&lt;=$E22),1,0)</x:f>
        <x:v>0</x:v>
      </x:c>
      <x:c r="S22" s="36" t="n">
        <x:f>IF(AND(S$5&gt;=$D22,S$5&lt;=$E22),1,0)</x:f>
        <x:v>0</x:v>
      </x:c>
      <x:c r="T22" s="36" t="n">
        <x:f>IF(AND(T$5&gt;=$D22,T$5&lt;=$E22),1,0)</x:f>
        <x:v>0</x:v>
      </x:c>
      <x:c r="U22" s="36" t="n">
        <x:f>IF(AND(U$5&gt;=$D22,U$5&lt;=$E22),1,0)</x:f>
        <x:v>0</x:v>
      </x:c>
      <x:c r="V22" s="36" t="n">
        <x:f>IF(AND(V$5&gt;=$D22,V$5&lt;=$E22),1,0)</x:f>
        <x:v>0</x:v>
      </x:c>
      <x:c r="W22" s="36" t="n">
        <x:f>IF(AND(W$5&gt;=$D22,W$5&lt;=$E22),1,0)</x:f>
        <x:v>0</x:v>
      </x:c>
      <x:c r="X22" s="36" t="n">
        <x:f>IF(AND(X$5&gt;=$D22,X$5&lt;=$E22),1,0)</x:f>
        <x:v>0</x:v>
      </x:c>
      <x:c r="Y22" s="36" t="n">
        <x:f>IF(AND(Y$5&gt;=$D22,Y$5&lt;=$E22),1,0)</x:f>
        <x:v>0</x:v>
      </x:c>
      <x:c r="Z22" s="36" t="n">
        <x:f>IF(AND(Z$5&gt;=$D22,Z$5&lt;=$E22),1,0)</x:f>
        <x:v>0</x:v>
      </x:c>
      <x:c r="AA22" s="36" t="n">
        <x:f>IF(AND(AA$5&gt;=$D22,AA$5&lt;=$E22),1,0)</x:f>
        <x:v>0</x:v>
      </x:c>
      <x:c r="AB22" s="36" t="n">
        <x:f>IF(AND(AB$5&gt;=$D22,AB$5&lt;=$E22),1,0)</x:f>
        <x:v>0</x:v>
      </x:c>
      <x:c r="AC22" s="36" t="n">
        <x:f>IF(AND(AC$5&gt;=$D22,AC$5&lt;=$E22),1,0)</x:f>
        <x:v>0</x:v>
      </x:c>
      <x:c r="AD22" s="36" t="n">
        <x:f>IF(AND(AD$5&gt;=$D22,AD$5&lt;=$E22),1,0)</x:f>
        <x:v>0</x:v>
      </x:c>
      <x:c r="AE22" s="36" t="n">
        <x:f>IF(AND(AE$5&gt;=$D22,AE$5&lt;=$E22),1,0)</x:f>
        <x:v>0</x:v>
      </x:c>
      <x:c r="AF22" s="36" t="n">
        <x:f>IF(AND(AF$5&gt;=$D22,AF$5&lt;=$E22),1,0)</x:f>
        <x:v>0</x:v>
      </x:c>
      <x:c r="AG22" s="36" t="n">
        <x:f>IF(AND(AG$5&gt;=$D22,AG$5&lt;=$E22),1,0)</x:f>
        <x:v>0</x:v>
      </x:c>
      <x:c r="AH22" s="36" t="n">
        <x:f>IF(AND(AH$5&gt;=$D22,AH$5&lt;=$E22),1,0)</x:f>
        <x:v>0</x:v>
      </x:c>
      <x:c r="AI22" s="36" t="n">
        <x:f>IF(AND(AI$5&gt;=$D22,AI$5&lt;=$E22),1,0)</x:f>
        <x:v>0</x:v>
      </x:c>
      <x:c r="AJ22" s="36" t="n">
        <x:f>IF(AND(AJ$5&gt;=$D22,AJ$5&lt;=$E22),1,0)</x:f>
        <x:v>0</x:v>
      </x:c>
      <x:c r="AK22" s="36" t="n">
        <x:f>IF(AND(AK$5&gt;=$D22,AK$5&lt;=$E22),1,0)</x:f>
        <x:v>0</x:v>
      </x:c>
      <x:c r="AL22" s="36" t="n">
        <x:f>IF(AND(AL$5&gt;=$D22,AL$5&lt;=$E22),1,0)</x:f>
        <x:v>0</x:v>
      </x:c>
      <x:c r="AM22" s="36" t="n">
        <x:f>IF(AND(AM$5&gt;=$D22,AM$5&lt;=$E22),1,0)</x:f>
        <x:v>0</x:v>
      </x:c>
      <x:c r="AN22" s="36" t="n">
        <x:f>IF(AND(AN$5&gt;=$D22,AN$5&lt;=$E22),1,0)</x:f>
        <x:v>0</x:v>
      </x:c>
      <x:c r="AO22" s="36" t="n">
        <x:f>IF(AND(AO$5&gt;=$D22,AO$5&lt;=$E22),1,0)</x:f>
        <x:v>0</x:v>
      </x:c>
      <x:c r="AP22" s="36" t="n">
        <x:f>IF(AND(AP$5&gt;=$D22,AP$5&lt;=$E22),1,0)</x:f>
        <x:v>0</x:v>
      </x:c>
      <x:c r="AQ22" s="36" t="n">
        <x:f>IF(AND(AQ$5&gt;=$D22,AQ$5&lt;=$E22),1,0)</x:f>
        <x:v>0</x:v>
      </x:c>
    </x:row>
    <x:row r="23" ht="38" customHeight="1">
      <x:c r="A23" s="9" t="str">
        <x:v>C03</x:v>
      </x:c>
      <x:c r="B23" s="9" t="str">
        <x:v>Implement digital PDF and HTML extraction</x:v>
      </x:c>
      <x:c r="C23" s="9" t="str">
        <x:v>AI</x:v>
      </x:c>
      <x:c r="D23" s="9" t="n">
        <x:f>ROUNDUP('Tasks'!K23/5,0)</x:f>
        <x:v>4</x:v>
      </x:c>
      <x:c r="E23" s="9" t="n">
        <x:f>ROUNDUP('Tasks'!L23/5,0)</x:f>
        <x:v>4</x:v>
      </x:c>
      <x:c r="F23" s="9" t="str">
        <x:f>'Tasks'!R23</x:f>
        <x:v>Not started</x:v>
      </x:c>
      <x:c r="G23" s="37" t="n">
        <x:f>'Tasks'!S23</x:f>
        <x:v>0</x:v>
      </x:c>
      <x:c r="H23" s="38" t="n">
        <x:f>IF(AND(H$5&gt;=$D23,H$5&lt;=$E23),1,0)</x:f>
        <x:v>0</x:v>
      </x:c>
      <x:c r="I23" s="38" t="n">
        <x:f>IF(AND(I$5&gt;=$D23,I$5&lt;=$E23),1,0)</x:f>
        <x:v>0</x:v>
      </x:c>
      <x:c r="J23" s="38" t="n">
        <x:f>IF(AND(J$5&gt;=$D23,J$5&lt;=$E23),1,0)</x:f>
        <x:v>0</x:v>
      </x:c>
      <x:c r="K23" s="38" t="n">
        <x:f>IF(AND(K$5&gt;=$D23,K$5&lt;=$E23),1,0)</x:f>
        <x:v>1</x:v>
      </x:c>
      <x:c r="L23" s="38" t="n">
        <x:f>IF(AND(L$5&gt;=$D23,L$5&lt;=$E23),1,0)</x:f>
        <x:v>0</x:v>
      </x:c>
      <x:c r="M23" s="38" t="n">
        <x:f>IF(AND(M$5&gt;=$D23,M$5&lt;=$E23),1,0)</x:f>
        <x:v>0</x:v>
      </x:c>
      <x:c r="N23" s="38" t="n">
        <x:f>IF(AND(N$5&gt;=$D23,N$5&lt;=$E23),1,0)</x:f>
        <x:v>0</x:v>
      </x:c>
      <x:c r="O23" s="38" t="n">
        <x:f>IF(AND(O$5&gt;=$D23,O$5&lt;=$E23),1,0)</x:f>
        <x:v>0</x:v>
      </x:c>
      <x:c r="P23" s="38" t="n">
        <x:f>IF(AND(P$5&gt;=$D23,P$5&lt;=$E23),1,0)</x:f>
        <x:v>0</x:v>
      </x:c>
      <x:c r="Q23" s="38" t="n">
        <x:f>IF(AND(Q$5&gt;=$D23,Q$5&lt;=$E23),1,0)</x:f>
        <x:v>0</x:v>
      </x:c>
      <x:c r="R23" s="38" t="n">
        <x:f>IF(AND(R$5&gt;=$D23,R$5&lt;=$E23),1,0)</x:f>
        <x:v>0</x:v>
      </x:c>
      <x:c r="S23" s="38" t="n">
        <x:f>IF(AND(S$5&gt;=$D23,S$5&lt;=$E23),1,0)</x:f>
        <x:v>0</x:v>
      </x:c>
      <x:c r="T23" s="38" t="n">
        <x:f>IF(AND(T$5&gt;=$D23,T$5&lt;=$E23),1,0)</x:f>
        <x:v>0</x:v>
      </x:c>
      <x:c r="U23" s="38" t="n">
        <x:f>IF(AND(U$5&gt;=$D23,U$5&lt;=$E23),1,0)</x:f>
        <x:v>0</x:v>
      </x:c>
      <x:c r="V23" s="38" t="n">
        <x:f>IF(AND(V$5&gt;=$D23,V$5&lt;=$E23),1,0)</x:f>
        <x:v>0</x:v>
      </x:c>
      <x:c r="W23" s="38" t="n">
        <x:f>IF(AND(W$5&gt;=$D23,W$5&lt;=$E23),1,0)</x:f>
        <x:v>0</x:v>
      </x:c>
      <x:c r="X23" s="38" t="n">
        <x:f>IF(AND(X$5&gt;=$D23,X$5&lt;=$E23),1,0)</x:f>
        <x:v>0</x:v>
      </x:c>
      <x:c r="Y23" s="38" t="n">
        <x:f>IF(AND(Y$5&gt;=$D23,Y$5&lt;=$E23),1,0)</x:f>
        <x:v>0</x:v>
      </x:c>
      <x:c r="Z23" s="38" t="n">
        <x:f>IF(AND(Z$5&gt;=$D23,Z$5&lt;=$E23),1,0)</x:f>
        <x:v>0</x:v>
      </x:c>
      <x:c r="AA23" s="38" t="n">
        <x:f>IF(AND(AA$5&gt;=$D23,AA$5&lt;=$E23),1,0)</x:f>
        <x:v>0</x:v>
      </x:c>
      <x:c r="AB23" s="38" t="n">
        <x:f>IF(AND(AB$5&gt;=$D23,AB$5&lt;=$E23),1,0)</x:f>
        <x:v>0</x:v>
      </x:c>
      <x:c r="AC23" s="38" t="n">
        <x:f>IF(AND(AC$5&gt;=$D23,AC$5&lt;=$E23),1,0)</x:f>
        <x:v>0</x:v>
      </x:c>
      <x:c r="AD23" s="38" t="n">
        <x:f>IF(AND(AD$5&gt;=$D23,AD$5&lt;=$E23),1,0)</x:f>
        <x:v>0</x:v>
      </x:c>
      <x:c r="AE23" s="38" t="n">
        <x:f>IF(AND(AE$5&gt;=$D23,AE$5&lt;=$E23),1,0)</x:f>
        <x:v>0</x:v>
      </x:c>
      <x:c r="AF23" s="38" t="n">
        <x:f>IF(AND(AF$5&gt;=$D23,AF$5&lt;=$E23),1,0)</x:f>
        <x:v>0</x:v>
      </x:c>
      <x:c r="AG23" s="38" t="n">
        <x:f>IF(AND(AG$5&gt;=$D23,AG$5&lt;=$E23),1,0)</x:f>
        <x:v>0</x:v>
      </x:c>
      <x:c r="AH23" s="38" t="n">
        <x:f>IF(AND(AH$5&gt;=$D23,AH$5&lt;=$E23),1,0)</x:f>
        <x:v>0</x:v>
      </x:c>
      <x:c r="AI23" s="38" t="n">
        <x:f>IF(AND(AI$5&gt;=$D23,AI$5&lt;=$E23),1,0)</x:f>
        <x:v>0</x:v>
      </x:c>
      <x:c r="AJ23" s="38" t="n">
        <x:f>IF(AND(AJ$5&gt;=$D23,AJ$5&lt;=$E23),1,0)</x:f>
        <x:v>0</x:v>
      </x:c>
      <x:c r="AK23" s="38" t="n">
        <x:f>IF(AND(AK$5&gt;=$D23,AK$5&lt;=$E23),1,0)</x:f>
        <x:v>0</x:v>
      </x:c>
      <x:c r="AL23" s="38" t="n">
        <x:f>IF(AND(AL$5&gt;=$D23,AL$5&lt;=$E23),1,0)</x:f>
        <x:v>0</x:v>
      </x:c>
      <x:c r="AM23" s="38" t="n">
        <x:f>IF(AND(AM$5&gt;=$D23,AM$5&lt;=$E23),1,0)</x:f>
        <x:v>0</x:v>
      </x:c>
      <x:c r="AN23" s="38" t="n">
        <x:f>IF(AND(AN$5&gt;=$D23,AN$5&lt;=$E23),1,0)</x:f>
        <x:v>0</x:v>
      </x:c>
      <x:c r="AO23" s="38" t="n">
        <x:f>IF(AND(AO$5&gt;=$D23,AO$5&lt;=$E23),1,0)</x:f>
        <x:v>0</x:v>
      </x:c>
      <x:c r="AP23" s="38" t="n">
        <x:f>IF(AND(AP$5&gt;=$D23,AP$5&lt;=$E23),1,0)</x:f>
        <x:v>0</x:v>
      </x:c>
      <x:c r="AQ23" s="38" t="n">
        <x:f>IF(AND(AQ$5&gt;=$D23,AQ$5&lt;=$E23),1,0)</x:f>
        <x:v>0</x:v>
      </x:c>
    </x:row>
    <x:row r="24" ht="38" customHeight="1">
      <x:c r="A24" s="10" t="str">
        <x:v>C04</x:v>
      </x:c>
      <x:c r="B24" s="10" t="str">
        <x:v>Implement scan OCR and image extraction</x:v>
      </x:c>
      <x:c r="C24" s="10" t="str">
        <x:v>OPS</x:v>
      </x:c>
      <x:c r="D24" s="10" t="n">
        <x:f>ROUNDUP('Tasks'!K24/5,0)</x:f>
        <x:v>4</x:v>
      </x:c>
      <x:c r="E24" s="10" t="n">
        <x:f>ROUNDUP('Tasks'!L24/5,0)</x:f>
        <x:v>5</x:v>
      </x:c>
      <x:c r="F24" s="10" t="str">
        <x:f>'Tasks'!R24</x:f>
        <x:v>Not started</x:v>
      </x:c>
      <x:c r="G24" s="35" t="n">
        <x:f>'Tasks'!S24</x:f>
        <x:v>0</x:v>
      </x:c>
      <x:c r="H24" s="36" t="n">
        <x:f>IF(AND(H$5&gt;=$D24,H$5&lt;=$E24),1,0)</x:f>
        <x:v>0</x:v>
      </x:c>
      <x:c r="I24" s="36" t="n">
        <x:f>IF(AND(I$5&gt;=$D24,I$5&lt;=$E24),1,0)</x:f>
        <x:v>0</x:v>
      </x:c>
      <x:c r="J24" s="36" t="n">
        <x:f>IF(AND(J$5&gt;=$D24,J$5&lt;=$E24),1,0)</x:f>
        <x:v>0</x:v>
      </x:c>
      <x:c r="K24" s="36" t="n">
        <x:f>IF(AND(K$5&gt;=$D24,K$5&lt;=$E24),1,0)</x:f>
        <x:v>1</x:v>
      </x:c>
      <x:c r="L24" s="36" t="n">
        <x:f>IF(AND(L$5&gt;=$D24,L$5&lt;=$E24),1,0)</x:f>
        <x:v>1</x:v>
      </x:c>
      <x:c r="M24" s="36" t="n">
        <x:f>IF(AND(M$5&gt;=$D24,M$5&lt;=$E24),1,0)</x:f>
        <x:v>0</x:v>
      </x:c>
      <x:c r="N24" s="36" t="n">
        <x:f>IF(AND(N$5&gt;=$D24,N$5&lt;=$E24),1,0)</x:f>
        <x:v>0</x:v>
      </x:c>
      <x:c r="O24" s="36" t="n">
        <x:f>IF(AND(O$5&gt;=$D24,O$5&lt;=$E24),1,0)</x:f>
        <x:v>0</x:v>
      </x:c>
      <x:c r="P24" s="36" t="n">
        <x:f>IF(AND(P$5&gt;=$D24,P$5&lt;=$E24),1,0)</x:f>
        <x:v>0</x:v>
      </x:c>
      <x:c r="Q24" s="36" t="n">
        <x:f>IF(AND(Q$5&gt;=$D24,Q$5&lt;=$E24),1,0)</x:f>
        <x:v>0</x:v>
      </x:c>
      <x:c r="R24" s="36" t="n">
        <x:f>IF(AND(R$5&gt;=$D24,R$5&lt;=$E24),1,0)</x:f>
        <x:v>0</x:v>
      </x:c>
      <x:c r="S24" s="36" t="n">
        <x:f>IF(AND(S$5&gt;=$D24,S$5&lt;=$E24),1,0)</x:f>
        <x:v>0</x:v>
      </x:c>
      <x:c r="T24" s="36" t="n">
        <x:f>IF(AND(T$5&gt;=$D24,T$5&lt;=$E24),1,0)</x:f>
        <x:v>0</x:v>
      </x:c>
      <x:c r="U24" s="36" t="n">
        <x:f>IF(AND(U$5&gt;=$D24,U$5&lt;=$E24),1,0)</x:f>
        <x:v>0</x:v>
      </x:c>
      <x:c r="V24" s="36" t="n">
        <x:f>IF(AND(V$5&gt;=$D24,V$5&lt;=$E24),1,0)</x:f>
        <x:v>0</x:v>
      </x:c>
      <x:c r="W24" s="36" t="n">
        <x:f>IF(AND(W$5&gt;=$D24,W$5&lt;=$E24),1,0)</x:f>
        <x:v>0</x:v>
      </x:c>
      <x:c r="X24" s="36" t="n">
        <x:f>IF(AND(X$5&gt;=$D24,X$5&lt;=$E24),1,0)</x:f>
        <x:v>0</x:v>
      </x:c>
      <x:c r="Y24" s="36" t="n">
        <x:f>IF(AND(Y$5&gt;=$D24,Y$5&lt;=$E24),1,0)</x:f>
        <x:v>0</x:v>
      </x:c>
      <x:c r="Z24" s="36" t="n">
        <x:f>IF(AND(Z$5&gt;=$D24,Z$5&lt;=$E24),1,0)</x:f>
        <x:v>0</x:v>
      </x:c>
      <x:c r="AA24" s="36" t="n">
        <x:f>IF(AND(AA$5&gt;=$D24,AA$5&lt;=$E24),1,0)</x:f>
        <x:v>0</x:v>
      </x:c>
      <x:c r="AB24" s="36" t="n">
        <x:f>IF(AND(AB$5&gt;=$D24,AB$5&lt;=$E24),1,0)</x:f>
        <x:v>0</x:v>
      </x:c>
      <x:c r="AC24" s="36" t="n">
        <x:f>IF(AND(AC$5&gt;=$D24,AC$5&lt;=$E24),1,0)</x:f>
        <x:v>0</x:v>
      </x:c>
      <x:c r="AD24" s="36" t="n">
        <x:f>IF(AND(AD$5&gt;=$D24,AD$5&lt;=$E24),1,0)</x:f>
        <x:v>0</x:v>
      </x:c>
      <x:c r="AE24" s="36" t="n">
        <x:f>IF(AND(AE$5&gt;=$D24,AE$5&lt;=$E24),1,0)</x:f>
        <x:v>0</x:v>
      </x:c>
      <x:c r="AF24" s="36" t="n">
        <x:f>IF(AND(AF$5&gt;=$D24,AF$5&lt;=$E24),1,0)</x:f>
        <x:v>0</x:v>
      </x:c>
      <x:c r="AG24" s="36" t="n">
        <x:f>IF(AND(AG$5&gt;=$D24,AG$5&lt;=$E24),1,0)</x:f>
        <x:v>0</x:v>
      </x:c>
      <x:c r="AH24" s="36" t="n">
        <x:f>IF(AND(AH$5&gt;=$D24,AH$5&lt;=$E24),1,0)</x:f>
        <x:v>0</x:v>
      </x:c>
      <x:c r="AI24" s="36" t="n">
        <x:f>IF(AND(AI$5&gt;=$D24,AI$5&lt;=$E24),1,0)</x:f>
        <x:v>0</x:v>
      </x:c>
      <x:c r="AJ24" s="36" t="n">
        <x:f>IF(AND(AJ$5&gt;=$D24,AJ$5&lt;=$E24),1,0)</x:f>
        <x:v>0</x:v>
      </x:c>
      <x:c r="AK24" s="36" t="n">
        <x:f>IF(AND(AK$5&gt;=$D24,AK$5&lt;=$E24),1,0)</x:f>
        <x:v>0</x:v>
      </x:c>
      <x:c r="AL24" s="36" t="n">
        <x:f>IF(AND(AL$5&gt;=$D24,AL$5&lt;=$E24),1,0)</x:f>
        <x:v>0</x:v>
      </x:c>
      <x:c r="AM24" s="36" t="n">
        <x:f>IF(AND(AM$5&gt;=$D24,AM$5&lt;=$E24),1,0)</x:f>
        <x:v>0</x:v>
      </x:c>
      <x:c r="AN24" s="36" t="n">
        <x:f>IF(AND(AN$5&gt;=$D24,AN$5&lt;=$E24),1,0)</x:f>
        <x:v>0</x:v>
      </x:c>
      <x:c r="AO24" s="36" t="n">
        <x:f>IF(AND(AO$5&gt;=$D24,AO$5&lt;=$E24),1,0)</x:f>
        <x:v>0</x:v>
      </x:c>
      <x:c r="AP24" s="36" t="n">
        <x:f>IF(AND(AP$5&gt;=$D24,AP$5&lt;=$E24),1,0)</x:f>
        <x:v>0</x:v>
      </x:c>
      <x:c r="AQ24" s="36" t="n">
        <x:f>IF(AND(AQ$5&gt;=$D24,AQ$5&lt;=$E24),1,0)</x:f>
        <x:v>0</x:v>
      </x:c>
    </x:row>
    <x:row r="25" ht="38" customHeight="1">
      <x:c r="A25" s="9" t="str">
        <x:v>C05</x:v>
      </x:c>
      <x:c r="B25" s="9" t="str">
        <x:v>Implement Word and slide extraction</x:v>
      </x:c>
      <x:c r="C25" s="9" t="str">
        <x:v>KE</x:v>
      </x:c>
      <x:c r="D25" s="9" t="n">
        <x:f>ROUNDUP('Tasks'!K25/5,0)</x:f>
        <x:v>5</x:v>
      </x:c>
      <x:c r="E25" s="9" t="n">
        <x:f>ROUNDUP('Tasks'!L25/5,0)</x:f>
        <x:v>5</x:v>
      </x:c>
      <x:c r="F25" s="9" t="str">
        <x:f>'Tasks'!R25</x:f>
        <x:v>Not started</x:v>
      </x:c>
      <x:c r="G25" s="37" t="n">
        <x:f>'Tasks'!S25</x:f>
        <x:v>0</x:v>
      </x:c>
      <x:c r="H25" s="38" t="n">
        <x:f>IF(AND(H$5&gt;=$D25,H$5&lt;=$E25),1,0)</x:f>
        <x:v>0</x:v>
      </x:c>
      <x:c r="I25" s="38" t="n">
        <x:f>IF(AND(I$5&gt;=$D25,I$5&lt;=$E25),1,0)</x:f>
        <x:v>0</x:v>
      </x:c>
      <x:c r="J25" s="38" t="n">
        <x:f>IF(AND(J$5&gt;=$D25,J$5&lt;=$E25),1,0)</x:f>
        <x:v>0</x:v>
      </x:c>
      <x:c r="K25" s="38" t="n">
        <x:f>IF(AND(K$5&gt;=$D25,K$5&lt;=$E25),1,0)</x:f>
        <x:v>0</x:v>
      </x:c>
      <x:c r="L25" s="38" t="n">
        <x:f>IF(AND(L$5&gt;=$D25,L$5&lt;=$E25),1,0)</x:f>
        <x:v>1</x:v>
      </x:c>
      <x:c r="M25" s="38" t="n">
        <x:f>IF(AND(M$5&gt;=$D25,M$5&lt;=$E25),1,0)</x:f>
        <x:v>0</x:v>
      </x:c>
      <x:c r="N25" s="38" t="n">
        <x:f>IF(AND(N$5&gt;=$D25,N$5&lt;=$E25),1,0)</x:f>
        <x:v>0</x:v>
      </x:c>
      <x:c r="O25" s="38" t="n">
        <x:f>IF(AND(O$5&gt;=$D25,O$5&lt;=$E25),1,0)</x:f>
        <x:v>0</x:v>
      </x:c>
      <x:c r="P25" s="38" t="n">
        <x:f>IF(AND(P$5&gt;=$D25,P$5&lt;=$E25),1,0)</x:f>
        <x:v>0</x:v>
      </x:c>
      <x:c r="Q25" s="38" t="n">
        <x:f>IF(AND(Q$5&gt;=$D25,Q$5&lt;=$E25),1,0)</x:f>
        <x:v>0</x:v>
      </x:c>
      <x:c r="R25" s="38" t="n">
        <x:f>IF(AND(R$5&gt;=$D25,R$5&lt;=$E25),1,0)</x:f>
        <x:v>0</x:v>
      </x:c>
      <x:c r="S25" s="38" t="n">
        <x:f>IF(AND(S$5&gt;=$D25,S$5&lt;=$E25),1,0)</x:f>
        <x:v>0</x:v>
      </x:c>
      <x:c r="T25" s="38" t="n">
        <x:f>IF(AND(T$5&gt;=$D25,T$5&lt;=$E25),1,0)</x:f>
        <x:v>0</x:v>
      </x:c>
      <x:c r="U25" s="38" t="n">
        <x:f>IF(AND(U$5&gt;=$D25,U$5&lt;=$E25),1,0)</x:f>
        <x:v>0</x:v>
      </x:c>
      <x:c r="V25" s="38" t="n">
        <x:f>IF(AND(V$5&gt;=$D25,V$5&lt;=$E25),1,0)</x:f>
        <x:v>0</x:v>
      </x:c>
      <x:c r="W25" s="38" t="n">
        <x:f>IF(AND(W$5&gt;=$D25,W$5&lt;=$E25),1,0)</x:f>
        <x:v>0</x:v>
      </x:c>
      <x:c r="X25" s="38" t="n">
        <x:f>IF(AND(X$5&gt;=$D25,X$5&lt;=$E25),1,0)</x:f>
        <x:v>0</x:v>
      </x:c>
      <x:c r="Y25" s="38" t="n">
        <x:f>IF(AND(Y$5&gt;=$D25,Y$5&lt;=$E25),1,0)</x:f>
        <x:v>0</x:v>
      </x:c>
      <x:c r="Z25" s="38" t="n">
        <x:f>IF(AND(Z$5&gt;=$D25,Z$5&lt;=$E25),1,0)</x:f>
        <x:v>0</x:v>
      </x:c>
      <x:c r="AA25" s="38" t="n">
        <x:f>IF(AND(AA$5&gt;=$D25,AA$5&lt;=$E25),1,0)</x:f>
        <x:v>0</x:v>
      </x:c>
      <x:c r="AB25" s="38" t="n">
        <x:f>IF(AND(AB$5&gt;=$D25,AB$5&lt;=$E25),1,0)</x:f>
        <x:v>0</x:v>
      </x:c>
      <x:c r="AC25" s="38" t="n">
        <x:f>IF(AND(AC$5&gt;=$D25,AC$5&lt;=$E25),1,0)</x:f>
        <x:v>0</x:v>
      </x:c>
      <x:c r="AD25" s="38" t="n">
        <x:f>IF(AND(AD$5&gt;=$D25,AD$5&lt;=$E25),1,0)</x:f>
        <x:v>0</x:v>
      </x:c>
      <x:c r="AE25" s="38" t="n">
        <x:f>IF(AND(AE$5&gt;=$D25,AE$5&lt;=$E25),1,0)</x:f>
        <x:v>0</x:v>
      </x:c>
      <x:c r="AF25" s="38" t="n">
        <x:f>IF(AND(AF$5&gt;=$D25,AF$5&lt;=$E25),1,0)</x:f>
        <x:v>0</x:v>
      </x:c>
      <x:c r="AG25" s="38" t="n">
        <x:f>IF(AND(AG$5&gt;=$D25,AG$5&lt;=$E25),1,0)</x:f>
        <x:v>0</x:v>
      </x:c>
      <x:c r="AH25" s="38" t="n">
        <x:f>IF(AND(AH$5&gt;=$D25,AH$5&lt;=$E25),1,0)</x:f>
        <x:v>0</x:v>
      </x:c>
      <x:c r="AI25" s="38" t="n">
        <x:f>IF(AND(AI$5&gt;=$D25,AI$5&lt;=$E25),1,0)</x:f>
        <x:v>0</x:v>
      </x:c>
      <x:c r="AJ25" s="38" t="n">
        <x:f>IF(AND(AJ$5&gt;=$D25,AJ$5&lt;=$E25),1,0)</x:f>
        <x:v>0</x:v>
      </x:c>
      <x:c r="AK25" s="38" t="n">
        <x:f>IF(AND(AK$5&gt;=$D25,AK$5&lt;=$E25),1,0)</x:f>
        <x:v>0</x:v>
      </x:c>
      <x:c r="AL25" s="38" t="n">
        <x:f>IF(AND(AL$5&gt;=$D25,AL$5&lt;=$E25),1,0)</x:f>
        <x:v>0</x:v>
      </x:c>
      <x:c r="AM25" s="38" t="n">
        <x:f>IF(AND(AM$5&gt;=$D25,AM$5&lt;=$E25),1,0)</x:f>
        <x:v>0</x:v>
      </x:c>
      <x:c r="AN25" s="38" t="n">
        <x:f>IF(AND(AN$5&gt;=$D25,AN$5&lt;=$E25),1,0)</x:f>
        <x:v>0</x:v>
      </x:c>
      <x:c r="AO25" s="38" t="n">
        <x:f>IF(AND(AO$5&gt;=$D25,AO$5&lt;=$E25),1,0)</x:f>
        <x:v>0</x:v>
      </x:c>
      <x:c r="AP25" s="38" t="n">
        <x:f>IF(AND(AP$5&gt;=$D25,AP$5&lt;=$E25),1,0)</x:f>
        <x:v>0</x:v>
      </x:c>
      <x:c r="AQ25" s="38" t="n">
        <x:f>IF(AND(AQ$5&gt;=$D25,AQ$5&lt;=$E25),1,0)</x:f>
        <x:v>0</x:v>
      </x:c>
    </x:row>
    <x:row r="26" ht="38" customHeight="1">
      <x:c r="A26" s="10" t="str">
        <x:v>C06</x:v>
      </x:c>
      <x:c r="B26" s="10" t="str">
        <x:v>Implement engineering image annotation</x:v>
      </x:c>
      <x:c r="C26" s="10" t="str">
        <x:v>PAE</x:v>
      </x:c>
      <x:c r="D26" s="10" t="n">
        <x:f>ROUNDUP('Tasks'!K26/5,0)</x:f>
        <x:v>6</x:v>
      </x:c>
      <x:c r="E26" s="10" t="n">
        <x:f>ROUNDUP('Tasks'!L26/5,0)</x:f>
        <x:v>7</x:v>
      </x:c>
      <x:c r="F26" s="10" t="str">
        <x:f>'Tasks'!R26</x:f>
        <x:v>Not started</x:v>
      </x:c>
      <x:c r="G26" s="35" t="n">
        <x:f>'Tasks'!S26</x:f>
        <x:v>0</x:v>
      </x:c>
      <x:c r="H26" s="36" t="n">
        <x:f>IF(AND(H$5&gt;=$D26,H$5&lt;=$E26),1,0)</x:f>
        <x:v>0</x:v>
      </x:c>
      <x:c r="I26" s="36" t="n">
        <x:f>IF(AND(I$5&gt;=$D26,I$5&lt;=$E26),1,0)</x:f>
        <x:v>0</x:v>
      </x:c>
      <x:c r="J26" s="36" t="n">
        <x:f>IF(AND(J$5&gt;=$D26,J$5&lt;=$E26),1,0)</x:f>
        <x:v>0</x:v>
      </x:c>
      <x:c r="K26" s="36" t="n">
        <x:f>IF(AND(K$5&gt;=$D26,K$5&lt;=$E26),1,0)</x:f>
        <x:v>0</x:v>
      </x:c>
      <x:c r="L26" s="36" t="n">
        <x:f>IF(AND(L$5&gt;=$D26,L$5&lt;=$E26),1,0)</x:f>
        <x:v>0</x:v>
      </x:c>
      <x:c r="M26" s="36" t="n">
        <x:f>IF(AND(M$5&gt;=$D26,M$5&lt;=$E26),1,0)</x:f>
        <x:v>1</x:v>
      </x:c>
      <x:c r="N26" s="36" t="n">
        <x:f>IF(AND(N$5&gt;=$D26,N$5&lt;=$E26),1,0)</x:f>
        <x:v>1</x:v>
      </x:c>
      <x:c r="O26" s="36" t="n">
        <x:f>IF(AND(O$5&gt;=$D26,O$5&lt;=$E26),1,0)</x:f>
        <x:v>0</x:v>
      </x:c>
      <x:c r="P26" s="36" t="n">
        <x:f>IF(AND(P$5&gt;=$D26,P$5&lt;=$E26),1,0)</x:f>
        <x:v>0</x:v>
      </x:c>
      <x:c r="Q26" s="36" t="n">
        <x:f>IF(AND(Q$5&gt;=$D26,Q$5&lt;=$E26),1,0)</x:f>
        <x:v>0</x:v>
      </x:c>
      <x:c r="R26" s="36" t="n">
        <x:f>IF(AND(R$5&gt;=$D26,R$5&lt;=$E26),1,0)</x:f>
        <x:v>0</x:v>
      </x:c>
      <x:c r="S26" s="36" t="n">
        <x:f>IF(AND(S$5&gt;=$D26,S$5&lt;=$E26),1,0)</x:f>
        <x:v>0</x:v>
      </x:c>
      <x:c r="T26" s="36" t="n">
        <x:f>IF(AND(T$5&gt;=$D26,T$5&lt;=$E26),1,0)</x:f>
        <x:v>0</x:v>
      </x:c>
      <x:c r="U26" s="36" t="n">
        <x:f>IF(AND(U$5&gt;=$D26,U$5&lt;=$E26),1,0)</x:f>
        <x:v>0</x:v>
      </x:c>
      <x:c r="V26" s="36" t="n">
        <x:f>IF(AND(V$5&gt;=$D26,V$5&lt;=$E26),1,0)</x:f>
        <x:v>0</x:v>
      </x:c>
      <x:c r="W26" s="36" t="n">
        <x:f>IF(AND(W$5&gt;=$D26,W$5&lt;=$E26),1,0)</x:f>
        <x:v>0</x:v>
      </x:c>
      <x:c r="X26" s="36" t="n">
        <x:f>IF(AND(X$5&gt;=$D26,X$5&lt;=$E26),1,0)</x:f>
        <x:v>0</x:v>
      </x:c>
      <x:c r="Y26" s="36" t="n">
        <x:f>IF(AND(Y$5&gt;=$D26,Y$5&lt;=$E26),1,0)</x:f>
        <x:v>0</x:v>
      </x:c>
      <x:c r="Z26" s="36" t="n">
        <x:f>IF(AND(Z$5&gt;=$D26,Z$5&lt;=$E26),1,0)</x:f>
        <x:v>0</x:v>
      </x:c>
      <x:c r="AA26" s="36" t="n">
        <x:f>IF(AND(AA$5&gt;=$D26,AA$5&lt;=$E26),1,0)</x:f>
        <x:v>0</x:v>
      </x:c>
      <x:c r="AB26" s="36" t="n">
        <x:f>IF(AND(AB$5&gt;=$D26,AB$5&lt;=$E26),1,0)</x:f>
        <x:v>0</x:v>
      </x:c>
      <x:c r="AC26" s="36" t="n">
        <x:f>IF(AND(AC$5&gt;=$D26,AC$5&lt;=$E26),1,0)</x:f>
        <x:v>0</x:v>
      </x:c>
      <x:c r="AD26" s="36" t="n">
        <x:f>IF(AND(AD$5&gt;=$D26,AD$5&lt;=$E26),1,0)</x:f>
        <x:v>0</x:v>
      </x:c>
      <x:c r="AE26" s="36" t="n">
        <x:f>IF(AND(AE$5&gt;=$D26,AE$5&lt;=$E26),1,0)</x:f>
        <x:v>0</x:v>
      </x:c>
      <x:c r="AF26" s="36" t="n">
        <x:f>IF(AND(AF$5&gt;=$D26,AF$5&lt;=$E26),1,0)</x:f>
        <x:v>0</x:v>
      </x:c>
      <x:c r="AG26" s="36" t="n">
        <x:f>IF(AND(AG$5&gt;=$D26,AG$5&lt;=$E26),1,0)</x:f>
        <x:v>0</x:v>
      </x:c>
      <x:c r="AH26" s="36" t="n">
        <x:f>IF(AND(AH$5&gt;=$D26,AH$5&lt;=$E26),1,0)</x:f>
        <x:v>0</x:v>
      </x:c>
      <x:c r="AI26" s="36" t="n">
        <x:f>IF(AND(AI$5&gt;=$D26,AI$5&lt;=$E26),1,0)</x:f>
        <x:v>0</x:v>
      </x:c>
      <x:c r="AJ26" s="36" t="n">
        <x:f>IF(AND(AJ$5&gt;=$D26,AJ$5&lt;=$E26),1,0)</x:f>
        <x:v>0</x:v>
      </x:c>
      <x:c r="AK26" s="36" t="n">
        <x:f>IF(AND(AK$5&gt;=$D26,AK$5&lt;=$E26),1,0)</x:f>
        <x:v>0</x:v>
      </x:c>
      <x:c r="AL26" s="36" t="n">
        <x:f>IF(AND(AL$5&gt;=$D26,AL$5&lt;=$E26),1,0)</x:f>
        <x:v>0</x:v>
      </x:c>
      <x:c r="AM26" s="36" t="n">
        <x:f>IF(AND(AM$5&gt;=$D26,AM$5&lt;=$E26),1,0)</x:f>
        <x:v>0</x:v>
      </x:c>
      <x:c r="AN26" s="36" t="n">
        <x:f>IF(AND(AN$5&gt;=$D26,AN$5&lt;=$E26),1,0)</x:f>
        <x:v>0</x:v>
      </x:c>
      <x:c r="AO26" s="36" t="n">
        <x:f>IF(AND(AO$5&gt;=$D26,AO$5&lt;=$E26),1,0)</x:f>
        <x:v>0</x:v>
      </x:c>
      <x:c r="AP26" s="36" t="n">
        <x:f>IF(AND(AP$5&gt;=$D26,AP$5&lt;=$E26),1,0)</x:f>
        <x:v>0</x:v>
      </x:c>
      <x:c r="AQ26" s="36" t="n">
        <x:f>IF(AND(AQ$5&gt;=$D26,AQ$5&lt;=$E26),1,0)</x:f>
        <x:v>0</x:v>
      </x:c>
    </x:row>
    <x:row r="27" ht="38" customHeight="1">
      <x:c r="A27" s="9" t="str">
        <x:v>C07</x:v>
      </x:c>
      <x:c r="B27" s="9" t="str">
        <x:v>Implement email thread normalization</x:v>
      </x:c>
      <x:c r="C27" s="9" t="str">
        <x:v>KE</x:v>
      </x:c>
      <x:c r="D27" s="9" t="n">
        <x:f>ROUNDUP('Tasks'!K27/5,0)</x:f>
        <x:v>6</x:v>
      </x:c>
      <x:c r="E27" s="9" t="n">
        <x:f>ROUNDUP('Tasks'!L27/5,0)</x:f>
        <x:v>6</x:v>
      </x:c>
      <x:c r="F27" s="9" t="str">
        <x:f>'Tasks'!R27</x:f>
        <x:v>Not started</x:v>
      </x:c>
      <x:c r="G27" s="37" t="n">
        <x:f>'Tasks'!S27</x:f>
        <x:v>0</x:v>
      </x:c>
      <x:c r="H27" s="38" t="n">
        <x:f>IF(AND(H$5&gt;=$D27,H$5&lt;=$E27),1,0)</x:f>
        <x:v>0</x:v>
      </x:c>
      <x:c r="I27" s="38" t="n">
        <x:f>IF(AND(I$5&gt;=$D27,I$5&lt;=$E27),1,0)</x:f>
        <x:v>0</x:v>
      </x:c>
      <x:c r="J27" s="38" t="n">
        <x:f>IF(AND(J$5&gt;=$D27,J$5&lt;=$E27),1,0)</x:f>
        <x:v>0</x:v>
      </x:c>
      <x:c r="K27" s="38" t="n">
        <x:f>IF(AND(K$5&gt;=$D27,K$5&lt;=$E27),1,0)</x:f>
        <x:v>0</x:v>
      </x:c>
      <x:c r="L27" s="38" t="n">
        <x:f>IF(AND(L$5&gt;=$D27,L$5&lt;=$E27),1,0)</x:f>
        <x:v>0</x:v>
      </x:c>
      <x:c r="M27" s="38" t="n">
        <x:f>IF(AND(M$5&gt;=$D27,M$5&lt;=$E27),1,0)</x:f>
        <x:v>1</x:v>
      </x:c>
      <x:c r="N27" s="38" t="n">
        <x:f>IF(AND(N$5&gt;=$D27,N$5&lt;=$E27),1,0)</x:f>
        <x:v>0</x:v>
      </x:c>
      <x:c r="O27" s="38" t="n">
        <x:f>IF(AND(O$5&gt;=$D27,O$5&lt;=$E27),1,0)</x:f>
        <x:v>0</x:v>
      </x:c>
      <x:c r="P27" s="38" t="n">
        <x:f>IF(AND(P$5&gt;=$D27,P$5&lt;=$E27),1,0)</x:f>
        <x:v>0</x:v>
      </x:c>
      <x:c r="Q27" s="38" t="n">
        <x:f>IF(AND(Q$5&gt;=$D27,Q$5&lt;=$E27),1,0)</x:f>
        <x:v>0</x:v>
      </x:c>
      <x:c r="R27" s="38" t="n">
        <x:f>IF(AND(R$5&gt;=$D27,R$5&lt;=$E27),1,0)</x:f>
        <x:v>0</x:v>
      </x:c>
      <x:c r="S27" s="38" t="n">
        <x:f>IF(AND(S$5&gt;=$D27,S$5&lt;=$E27),1,0)</x:f>
        <x:v>0</x:v>
      </x:c>
      <x:c r="T27" s="38" t="n">
        <x:f>IF(AND(T$5&gt;=$D27,T$5&lt;=$E27),1,0)</x:f>
        <x:v>0</x:v>
      </x:c>
      <x:c r="U27" s="38" t="n">
        <x:f>IF(AND(U$5&gt;=$D27,U$5&lt;=$E27),1,0)</x:f>
        <x:v>0</x:v>
      </x:c>
      <x:c r="V27" s="38" t="n">
        <x:f>IF(AND(V$5&gt;=$D27,V$5&lt;=$E27),1,0)</x:f>
        <x:v>0</x:v>
      </x:c>
      <x:c r="W27" s="38" t="n">
        <x:f>IF(AND(W$5&gt;=$D27,W$5&lt;=$E27),1,0)</x:f>
        <x:v>0</x:v>
      </x:c>
      <x:c r="X27" s="38" t="n">
        <x:f>IF(AND(X$5&gt;=$D27,X$5&lt;=$E27),1,0)</x:f>
        <x:v>0</x:v>
      </x:c>
      <x:c r="Y27" s="38" t="n">
        <x:f>IF(AND(Y$5&gt;=$D27,Y$5&lt;=$E27),1,0)</x:f>
        <x:v>0</x:v>
      </x:c>
      <x:c r="Z27" s="38" t="n">
        <x:f>IF(AND(Z$5&gt;=$D27,Z$5&lt;=$E27),1,0)</x:f>
        <x:v>0</x:v>
      </x:c>
      <x:c r="AA27" s="38" t="n">
        <x:f>IF(AND(AA$5&gt;=$D27,AA$5&lt;=$E27),1,0)</x:f>
        <x:v>0</x:v>
      </x:c>
      <x:c r="AB27" s="38" t="n">
        <x:f>IF(AND(AB$5&gt;=$D27,AB$5&lt;=$E27),1,0)</x:f>
        <x:v>0</x:v>
      </x:c>
      <x:c r="AC27" s="38" t="n">
        <x:f>IF(AND(AC$5&gt;=$D27,AC$5&lt;=$E27),1,0)</x:f>
        <x:v>0</x:v>
      </x:c>
      <x:c r="AD27" s="38" t="n">
        <x:f>IF(AND(AD$5&gt;=$D27,AD$5&lt;=$E27),1,0)</x:f>
        <x:v>0</x:v>
      </x:c>
      <x:c r="AE27" s="38" t="n">
        <x:f>IF(AND(AE$5&gt;=$D27,AE$5&lt;=$E27),1,0)</x:f>
        <x:v>0</x:v>
      </x:c>
      <x:c r="AF27" s="38" t="n">
        <x:f>IF(AND(AF$5&gt;=$D27,AF$5&lt;=$E27),1,0)</x:f>
        <x:v>0</x:v>
      </x:c>
      <x:c r="AG27" s="38" t="n">
        <x:f>IF(AND(AG$5&gt;=$D27,AG$5&lt;=$E27),1,0)</x:f>
        <x:v>0</x:v>
      </x:c>
      <x:c r="AH27" s="38" t="n">
        <x:f>IF(AND(AH$5&gt;=$D27,AH$5&lt;=$E27),1,0)</x:f>
        <x:v>0</x:v>
      </x:c>
      <x:c r="AI27" s="38" t="n">
        <x:f>IF(AND(AI$5&gt;=$D27,AI$5&lt;=$E27),1,0)</x:f>
        <x:v>0</x:v>
      </x:c>
      <x:c r="AJ27" s="38" t="n">
        <x:f>IF(AND(AJ$5&gt;=$D27,AJ$5&lt;=$E27),1,0)</x:f>
        <x:v>0</x:v>
      </x:c>
      <x:c r="AK27" s="38" t="n">
        <x:f>IF(AND(AK$5&gt;=$D27,AK$5&lt;=$E27),1,0)</x:f>
        <x:v>0</x:v>
      </x:c>
      <x:c r="AL27" s="38" t="n">
        <x:f>IF(AND(AL$5&gt;=$D27,AL$5&lt;=$E27),1,0)</x:f>
        <x:v>0</x:v>
      </x:c>
      <x:c r="AM27" s="38" t="n">
        <x:f>IF(AND(AM$5&gt;=$D27,AM$5&lt;=$E27),1,0)</x:f>
        <x:v>0</x:v>
      </x:c>
      <x:c r="AN27" s="38" t="n">
        <x:f>IF(AND(AN$5&gt;=$D27,AN$5&lt;=$E27),1,0)</x:f>
        <x:v>0</x:v>
      </x:c>
      <x:c r="AO27" s="38" t="n">
        <x:f>IF(AND(AO$5&gt;=$D27,AO$5&lt;=$E27),1,0)</x:f>
        <x:v>0</x:v>
      </x:c>
      <x:c r="AP27" s="38" t="n">
        <x:f>IF(AND(AP$5&gt;=$D27,AP$5&lt;=$E27),1,0)</x:f>
        <x:v>0</x:v>
      </x:c>
      <x:c r="AQ27" s="38" t="n">
        <x:f>IF(AND(AQ$5&gt;=$D27,AQ$5&lt;=$E27),1,0)</x:f>
        <x:v>0</x:v>
      </x:c>
    </x:row>
    <x:row r="28" ht="38" customHeight="1">
      <x:c r="A28" s="10" t="str">
        <x:v>C08</x:v>
      </x:c>
      <x:c r="B28" s="10" t="str">
        <x:v>Implement tabular operating-data conversion</x:v>
      </x:c>
      <x:c r="C28" s="10" t="str">
        <x:v>PAE</x:v>
      </x:c>
      <x:c r="D28" s="10" t="n">
        <x:f>ROUNDUP('Tasks'!K28/5,0)</x:f>
        <x:v>6</x:v>
      </x:c>
      <x:c r="E28" s="10" t="n">
        <x:f>ROUNDUP('Tasks'!L28/5,0)</x:f>
        <x:v>6</x:v>
      </x:c>
      <x:c r="F28" s="10" t="str">
        <x:f>'Tasks'!R28</x:f>
        <x:v>Not started</x:v>
      </x:c>
      <x:c r="G28" s="35" t="n">
        <x:f>'Tasks'!S28</x:f>
        <x:v>0</x:v>
      </x:c>
      <x:c r="H28" s="36" t="n">
        <x:f>IF(AND(H$5&gt;=$D28,H$5&lt;=$E28),1,0)</x:f>
        <x:v>0</x:v>
      </x:c>
      <x:c r="I28" s="36" t="n">
        <x:f>IF(AND(I$5&gt;=$D28,I$5&lt;=$E28),1,0)</x:f>
        <x:v>0</x:v>
      </x:c>
      <x:c r="J28" s="36" t="n">
        <x:f>IF(AND(J$5&gt;=$D28,J$5&lt;=$E28),1,0)</x:f>
        <x:v>0</x:v>
      </x:c>
      <x:c r="K28" s="36" t="n">
        <x:f>IF(AND(K$5&gt;=$D28,K$5&lt;=$E28),1,0)</x:f>
        <x:v>0</x:v>
      </x:c>
      <x:c r="L28" s="36" t="n">
        <x:f>IF(AND(L$5&gt;=$D28,L$5&lt;=$E28),1,0)</x:f>
        <x:v>0</x:v>
      </x:c>
      <x:c r="M28" s="36" t="n">
        <x:f>IF(AND(M$5&gt;=$D28,M$5&lt;=$E28),1,0)</x:f>
        <x:v>1</x:v>
      </x:c>
      <x:c r="N28" s="36" t="n">
        <x:f>IF(AND(N$5&gt;=$D28,N$5&lt;=$E28),1,0)</x:f>
        <x:v>0</x:v>
      </x:c>
      <x:c r="O28" s="36" t="n">
        <x:f>IF(AND(O$5&gt;=$D28,O$5&lt;=$E28),1,0)</x:f>
        <x:v>0</x:v>
      </x:c>
      <x:c r="P28" s="36" t="n">
        <x:f>IF(AND(P$5&gt;=$D28,P$5&lt;=$E28),1,0)</x:f>
        <x:v>0</x:v>
      </x:c>
      <x:c r="Q28" s="36" t="n">
        <x:f>IF(AND(Q$5&gt;=$D28,Q$5&lt;=$E28),1,0)</x:f>
        <x:v>0</x:v>
      </x:c>
      <x:c r="R28" s="36" t="n">
        <x:f>IF(AND(R$5&gt;=$D28,R$5&lt;=$E28),1,0)</x:f>
        <x:v>0</x:v>
      </x:c>
      <x:c r="S28" s="36" t="n">
        <x:f>IF(AND(S$5&gt;=$D28,S$5&lt;=$E28),1,0)</x:f>
        <x:v>0</x:v>
      </x:c>
      <x:c r="T28" s="36" t="n">
        <x:f>IF(AND(T$5&gt;=$D28,T$5&lt;=$E28),1,0)</x:f>
        <x:v>0</x:v>
      </x:c>
      <x:c r="U28" s="36" t="n">
        <x:f>IF(AND(U$5&gt;=$D28,U$5&lt;=$E28),1,0)</x:f>
        <x:v>0</x:v>
      </x:c>
      <x:c r="V28" s="36" t="n">
        <x:f>IF(AND(V$5&gt;=$D28,V$5&lt;=$E28),1,0)</x:f>
        <x:v>0</x:v>
      </x:c>
      <x:c r="W28" s="36" t="n">
        <x:f>IF(AND(W$5&gt;=$D28,W$5&lt;=$E28),1,0)</x:f>
        <x:v>0</x:v>
      </x:c>
      <x:c r="X28" s="36" t="n">
        <x:f>IF(AND(X$5&gt;=$D28,X$5&lt;=$E28),1,0)</x:f>
        <x:v>0</x:v>
      </x:c>
      <x:c r="Y28" s="36" t="n">
        <x:f>IF(AND(Y$5&gt;=$D28,Y$5&lt;=$E28),1,0)</x:f>
        <x:v>0</x:v>
      </x:c>
      <x:c r="Z28" s="36" t="n">
        <x:f>IF(AND(Z$5&gt;=$D28,Z$5&lt;=$E28),1,0)</x:f>
        <x:v>0</x:v>
      </x:c>
      <x:c r="AA28" s="36" t="n">
        <x:f>IF(AND(AA$5&gt;=$D28,AA$5&lt;=$E28),1,0)</x:f>
        <x:v>0</x:v>
      </x:c>
      <x:c r="AB28" s="36" t="n">
        <x:f>IF(AND(AB$5&gt;=$D28,AB$5&lt;=$E28),1,0)</x:f>
        <x:v>0</x:v>
      </x:c>
      <x:c r="AC28" s="36" t="n">
        <x:f>IF(AND(AC$5&gt;=$D28,AC$5&lt;=$E28),1,0)</x:f>
        <x:v>0</x:v>
      </x:c>
      <x:c r="AD28" s="36" t="n">
        <x:f>IF(AND(AD$5&gt;=$D28,AD$5&lt;=$E28),1,0)</x:f>
        <x:v>0</x:v>
      </x:c>
      <x:c r="AE28" s="36" t="n">
        <x:f>IF(AND(AE$5&gt;=$D28,AE$5&lt;=$E28),1,0)</x:f>
        <x:v>0</x:v>
      </x:c>
      <x:c r="AF28" s="36" t="n">
        <x:f>IF(AND(AF$5&gt;=$D28,AF$5&lt;=$E28),1,0)</x:f>
        <x:v>0</x:v>
      </x:c>
      <x:c r="AG28" s="36" t="n">
        <x:f>IF(AND(AG$5&gt;=$D28,AG$5&lt;=$E28),1,0)</x:f>
        <x:v>0</x:v>
      </x:c>
      <x:c r="AH28" s="36" t="n">
        <x:f>IF(AND(AH$5&gt;=$D28,AH$5&lt;=$E28),1,0)</x:f>
        <x:v>0</x:v>
      </x:c>
      <x:c r="AI28" s="36" t="n">
        <x:f>IF(AND(AI$5&gt;=$D28,AI$5&lt;=$E28),1,0)</x:f>
        <x:v>0</x:v>
      </x:c>
      <x:c r="AJ28" s="36" t="n">
        <x:f>IF(AND(AJ$5&gt;=$D28,AJ$5&lt;=$E28),1,0)</x:f>
        <x:v>0</x:v>
      </x:c>
      <x:c r="AK28" s="36" t="n">
        <x:f>IF(AND(AK$5&gt;=$D28,AK$5&lt;=$E28),1,0)</x:f>
        <x:v>0</x:v>
      </x:c>
      <x:c r="AL28" s="36" t="n">
        <x:f>IF(AND(AL$5&gt;=$D28,AL$5&lt;=$E28),1,0)</x:f>
        <x:v>0</x:v>
      </x:c>
      <x:c r="AM28" s="36" t="n">
        <x:f>IF(AND(AM$5&gt;=$D28,AM$5&lt;=$E28),1,0)</x:f>
        <x:v>0</x:v>
      </x:c>
      <x:c r="AN28" s="36" t="n">
        <x:f>IF(AND(AN$5&gt;=$D28,AN$5&lt;=$E28),1,0)</x:f>
        <x:v>0</x:v>
      </x:c>
      <x:c r="AO28" s="36" t="n">
        <x:f>IF(AND(AO$5&gt;=$D28,AO$5&lt;=$E28),1,0)</x:f>
        <x:v>0</x:v>
      </x:c>
      <x:c r="AP28" s="36" t="n">
        <x:f>IF(AND(AP$5&gt;=$D28,AP$5&lt;=$E28),1,0)</x:f>
        <x:v>0</x:v>
      </x:c>
      <x:c r="AQ28" s="36" t="n">
        <x:f>IF(AND(AQ$5&gt;=$D28,AQ$5&lt;=$E28),1,0)</x:f>
        <x:v>0</x:v>
      </x:c>
    </x:row>
    <x:row r="29" ht="38" customHeight="1">
      <x:c r="A29" s="9" t="str">
        <x:v>C09</x:v>
      </x:c>
      <x:c r="B29" s="9" t="str">
        <x:v>Implement interview transcription route</x:v>
      </x:c>
      <x:c r="C29" s="9" t="str">
        <x:v>KE</x:v>
      </x:c>
      <x:c r="D29" s="9" t="n">
        <x:f>ROUNDUP('Tasks'!K29/5,0)</x:f>
        <x:v>6</x:v>
      </x:c>
      <x:c r="E29" s="9" t="n">
        <x:f>ROUNDUP('Tasks'!L29/5,0)</x:f>
        <x:v>7</x:v>
      </x:c>
      <x:c r="F29" s="9" t="str">
        <x:f>'Tasks'!R29</x:f>
        <x:v>Not started</x:v>
      </x:c>
      <x:c r="G29" s="37" t="n">
        <x:f>'Tasks'!S29</x:f>
        <x:v>0</x:v>
      </x:c>
      <x:c r="H29" s="38" t="n">
        <x:f>IF(AND(H$5&gt;=$D29,H$5&lt;=$E29),1,0)</x:f>
        <x:v>0</x:v>
      </x:c>
      <x:c r="I29" s="38" t="n">
        <x:f>IF(AND(I$5&gt;=$D29,I$5&lt;=$E29),1,0)</x:f>
        <x:v>0</x:v>
      </x:c>
      <x:c r="J29" s="38" t="n">
        <x:f>IF(AND(J$5&gt;=$D29,J$5&lt;=$E29),1,0)</x:f>
        <x:v>0</x:v>
      </x:c>
      <x:c r="K29" s="38" t="n">
        <x:f>IF(AND(K$5&gt;=$D29,K$5&lt;=$E29),1,0)</x:f>
        <x:v>0</x:v>
      </x:c>
      <x:c r="L29" s="38" t="n">
        <x:f>IF(AND(L$5&gt;=$D29,L$5&lt;=$E29),1,0)</x:f>
        <x:v>0</x:v>
      </x:c>
      <x:c r="M29" s="38" t="n">
        <x:f>IF(AND(M$5&gt;=$D29,M$5&lt;=$E29),1,0)</x:f>
        <x:v>1</x:v>
      </x:c>
      <x:c r="N29" s="38" t="n">
        <x:f>IF(AND(N$5&gt;=$D29,N$5&lt;=$E29),1,0)</x:f>
        <x:v>1</x:v>
      </x:c>
      <x:c r="O29" s="38" t="n">
        <x:f>IF(AND(O$5&gt;=$D29,O$5&lt;=$E29),1,0)</x:f>
        <x:v>0</x:v>
      </x:c>
      <x:c r="P29" s="38" t="n">
        <x:f>IF(AND(P$5&gt;=$D29,P$5&lt;=$E29),1,0)</x:f>
        <x:v>0</x:v>
      </x:c>
      <x:c r="Q29" s="38" t="n">
        <x:f>IF(AND(Q$5&gt;=$D29,Q$5&lt;=$E29),1,0)</x:f>
        <x:v>0</x:v>
      </x:c>
      <x:c r="R29" s="38" t="n">
        <x:f>IF(AND(R$5&gt;=$D29,R$5&lt;=$E29),1,0)</x:f>
        <x:v>0</x:v>
      </x:c>
      <x:c r="S29" s="38" t="n">
        <x:f>IF(AND(S$5&gt;=$D29,S$5&lt;=$E29),1,0)</x:f>
        <x:v>0</x:v>
      </x:c>
      <x:c r="T29" s="38" t="n">
        <x:f>IF(AND(T$5&gt;=$D29,T$5&lt;=$E29),1,0)</x:f>
        <x:v>0</x:v>
      </x:c>
      <x:c r="U29" s="38" t="n">
        <x:f>IF(AND(U$5&gt;=$D29,U$5&lt;=$E29),1,0)</x:f>
        <x:v>0</x:v>
      </x:c>
      <x:c r="V29" s="38" t="n">
        <x:f>IF(AND(V$5&gt;=$D29,V$5&lt;=$E29),1,0)</x:f>
        <x:v>0</x:v>
      </x:c>
      <x:c r="W29" s="38" t="n">
        <x:f>IF(AND(W$5&gt;=$D29,W$5&lt;=$E29),1,0)</x:f>
        <x:v>0</x:v>
      </x:c>
      <x:c r="X29" s="38" t="n">
        <x:f>IF(AND(X$5&gt;=$D29,X$5&lt;=$E29),1,0)</x:f>
        <x:v>0</x:v>
      </x:c>
      <x:c r="Y29" s="38" t="n">
        <x:f>IF(AND(Y$5&gt;=$D29,Y$5&lt;=$E29),1,0)</x:f>
        <x:v>0</x:v>
      </x:c>
      <x:c r="Z29" s="38" t="n">
        <x:f>IF(AND(Z$5&gt;=$D29,Z$5&lt;=$E29),1,0)</x:f>
        <x:v>0</x:v>
      </x:c>
      <x:c r="AA29" s="38" t="n">
        <x:f>IF(AND(AA$5&gt;=$D29,AA$5&lt;=$E29),1,0)</x:f>
        <x:v>0</x:v>
      </x:c>
      <x:c r="AB29" s="38" t="n">
        <x:f>IF(AND(AB$5&gt;=$D29,AB$5&lt;=$E29),1,0)</x:f>
        <x:v>0</x:v>
      </x:c>
      <x:c r="AC29" s="38" t="n">
        <x:f>IF(AND(AC$5&gt;=$D29,AC$5&lt;=$E29),1,0)</x:f>
        <x:v>0</x:v>
      </x:c>
      <x:c r="AD29" s="38" t="n">
        <x:f>IF(AND(AD$5&gt;=$D29,AD$5&lt;=$E29),1,0)</x:f>
        <x:v>0</x:v>
      </x:c>
      <x:c r="AE29" s="38" t="n">
        <x:f>IF(AND(AE$5&gt;=$D29,AE$5&lt;=$E29),1,0)</x:f>
        <x:v>0</x:v>
      </x:c>
      <x:c r="AF29" s="38" t="n">
        <x:f>IF(AND(AF$5&gt;=$D29,AF$5&lt;=$E29),1,0)</x:f>
        <x:v>0</x:v>
      </x:c>
      <x:c r="AG29" s="38" t="n">
        <x:f>IF(AND(AG$5&gt;=$D29,AG$5&lt;=$E29),1,0)</x:f>
        <x:v>0</x:v>
      </x:c>
      <x:c r="AH29" s="38" t="n">
        <x:f>IF(AND(AH$5&gt;=$D29,AH$5&lt;=$E29),1,0)</x:f>
        <x:v>0</x:v>
      </x:c>
      <x:c r="AI29" s="38" t="n">
        <x:f>IF(AND(AI$5&gt;=$D29,AI$5&lt;=$E29),1,0)</x:f>
        <x:v>0</x:v>
      </x:c>
      <x:c r="AJ29" s="38" t="n">
        <x:f>IF(AND(AJ$5&gt;=$D29,AJ$5&lt;=$E29),1,0)</x:f>
        <x:v>0</x:v>
      </x:c>
      <x:c r="AK29" s="38" t="n">
        <x:f>IF(AND(AK$5&gt;=$D29,AK$5&lt;=$E29),1,0)</x:f>
        <x:v>0</x:v>
      </x:c>
      <x:c r="AL29" s="38" t="n">
        <x:f>IF(AND(AL$5&gt;=$D29,AL$5&lt;=$E29),1,0)</x:f>
        <x:v>0</x:v>
      </x:c>
      <x:c r="AM29" s="38" t="n">
        <x:f>IF(AND(AM$5&gt;=$D29,AM$5&lt;=$E29),1,0)</x:f>
        <x:v>0</x:v>
      </x:c>
      <x:c r="AN29" s="38" t="n">
        <x:f>IF(AND(AN$5&gt;=$D29,AN$5&lt;=$E29),1,0)</x:f>
        <x:v>0</x:v>
      </x:c>
      <x:c r="AO29" s="38" t="n">
        <x:f>IF(AND(AO$5&gt;=$D29,AO$5&lt;=$E29),1,0)</x:f>
        <x:v>0</x:v>
      </x:c>
      <x:c r="AP29" s="38" t="n">
        <x:f>IF(AND(AP$5&gt;=$D29,AP$5&lt;=$E29),1,0)</x:f>
        <x:v>0</x:v>
      </x:c>
      <x:c r="AQ29" s="38" t="n">
        <x:f>IF(AND(AQ$5&gt;=$D29,AQ$5&lt;=$E29),1,0)</x:f>
        <x:v>0</x:v>
      </x:c>
    </x:row>
    <x:row r="30" ht="38" customHeight="1">
      <x:c r="A30" s="10" t="str">
        <x:v>C10</x:v>
      </x:c>
      <x:c r="B30" s="10" t="str">
        <x:v>Normalize text tables equations and units</x:v>
      </x:c>
      <x:c r="C30" s="10" t="str">
        <x:v>PAE</x:v>
      </x:c>
      <x:c r="D30" s="10" t="n">
        <x:f>ROUNDUP('Tasks'!K30/5,0)</x:f>
        <x:v>7</x:v>
      </x:c>
      <x:c r="E30" s="10" t="n">
        <x:f>ROUNDUP('Tasks'!L30/5,0)</x:f>
        <x:v>8</x:v>
      </x:c>
      <x:c r="F30" s="10" t="str">
        <x:f>'Tasks'!R30</x:f>
        <x:v>Not started</x:v>
      </x:c>
      <x:c r="G30" s="35" t="n">
        <x:f>'Tasks'!S30</x:f>
        <x:v>0</x:v>
      </x:c>
      <x:c r="H30" s="36" t="n">
        <x:f>IF(AND(H$5&gt;=$D30,H$5&lt;=$E30),1,0)</x:f>
        <x:v>0</x:v>
      </x:c>
      <x:c r="I30" s="36" t="n">
        <x:f>IF(AND(I$5&gt;=$D30,I$5&lt;=$E30),1,0)</x:f>
        <x:v>0</x:v>
      </x:c>
      <x:c r="J30" s="36" t="n">
        <x:f>IF(AND(J$5&gt;=$D30,J$5&lt;=$E30),1,0)</x:f>
        <x:v>0</x:v>
      </x:c>
      <x:c r="K30" s="36" t="n">
        <x:f>IF(AND(K$5&gt;=$D30,K$5&lt;=$E30),1,0)</x:f>
        <x:v>0</x:v>
      </x:c>
      <x:c r="L30" s="36" t="n">
        <x:f>IF(AND(L$5&gt;=$D30,L$5&lt;=$E30),1,0)</x:f>
        <x:v>0</x:v>
      </x:c>
      <x:c r="M30" s="36" t="n">
        <x:f>IF(AND(M$5&gt;=$D30,M$5&lt;=$E30),1,0)</x:f>
        <x:v>0</x:v>
      </x:c>
      <x:c r="N30" s="36" t="n">
        <x:f>IF(AND(N$5&gt;=$D30,N$5&lt;=$E30),1,0)</x:f>
        <x:v>1</x:v>
      </x:c>
      <x:c r="O30" s="36" t="n">
        <x:f>IF(AND(O$5&gt;=$D30,O$5&lt;=$E30),1,0)</x:f>
        <x:v>1</x:v>
      </x:c>
      <x:c r="P30" s="36" t="n">
        <x:f>IF(AND(P$5&gt;=$D30,P$5&lt;=$E30),1,0)</x:f>
        <x:v>0</x:v>
      </x:c>
      <x:c r="Q30" s="36" t="n">
        <x:f>IF(AND(Q$5&gt;=$D30,Q$5&lt;=$E30),1,0)</x:f>
        <x:v>0</x:v>
      </x:c>
      <x:c r="R30" s="36" t="n">
        <x:f>IF(AND(R$5&gt;=$D30,R$5&lt;=$E30),1,0)</x:f>
        <x:v>0</x:v>
      </x:c>
      <x:c r="S30" s="36" t="n">
        <x:f>IF(AND(S$5&gt;=$D30,S$5&lt;=$E30),1,0)</x:f>
        <x:v>0</x:v>
      </x:c>
      <x:c r="T30" s="36" t="n">
        <x:f>IF(AND(T$5&gt;=$D30,T$5&lt;=$E30),1,0)</x:f>
        <x:v>0</x:v>
      </x:c>
      <x:c r="U30" s="36" t="n">
        <x:f>IF(AND(U$5&gt;=$D30,U$5&lt;=$E30),1,0)</x:f>
        <x:v>0</x:v>
      </x:c>
      <x:c r="V30" s="36" t="n">
        <x:f>IF(AND(V$5&gt;=$D30,V$5&lt;=$E30),1,0)</x:f>
        <x:v>0</x:v>
      </x:c>
      <x:c r="W30" s="36" t="n">
        <x:f>IF(AND(W$5&gt;=$D30,W$5&lt;=$E30),1,0)</x:f>
        <x:v>0</x:v>
      </x:c>
      <x:c r="X30" s="36" t="n">
        <x:f>IF(AND(X$5&gt;=$D30,X$5&lt;=$E30),1,0)</x:f>
        <x:v>0</x:v>
      </x:c>
      <x:c r="Y30" s="36" t="n">
        <x:f>IF(AND(Y$5&gt;=$D30,Y$5&lt;=$E30),1,0)</x:f>
        <x:v>0</x:v>
      </x:c>
      <x:c r="Z30" s="36" t="n">
        <x:f>IF(AND(Z$5&gt;=$D30,Z$5&lt;=$E30),1,0)</x:f>
        <x:v>0</x:v>
      </x:c>
      <x:c r="AA30" s="36" t="n">
        <x:f>IF(AND(AA$5&gt;=$D30,AA$5&lt;=$E30),1,0)</x:f>
        <x:v>0</x:v>
      </x:c>
      <x:c r="AB30" s="36" t="n">
        <x:f>IF(AND(AB$5&gt;=$D30,AB$5&lt;=$E30),1,0)</x:f>
        <x:v>0</x:v>
      </x:c>
      <x:c r="AC30" s="36" t="n">
        <x:f>IF(AND(AC$5&gt;=$D30,AC$5&lt;=$E30),1,0)</x:f>
        <x:v>0</x:v>
      </x:c>
      <x:c r="AD30" s="36" t="n">
        <x:f>IF(AND(AD$5&gt;=$D30,AD$5&lt;=$E30),1,0)</x:f>
        <x:v>0</x:v>
      </x:c>
      <x:c r="AE30" s="36" t="n">
        <x:f>IF(AND(AE$5&gt;=$D30,AE$5&lt;=$E30),1,0)</x:f>
        <x:v>0</x:v>
      </x:c>
      <x:c r="AF30" s="36" t="n">
        <x:f>IF(AND(AF$5&gt;=$D30,AF$5&lt;=$E30),1,0)</x:f>
        <x:v>0</x:v>
      </x:c>
      <x:c r="AG30" s="36" t="n">
        <x:f>IF(AND(AG$5&gt;=$D30,AG$5&lt;=$E30),1,0)</x:f>
        <x:v>0</x:v>
      </x:c>
      <x:c r="AH30" s="36" t="n">
        <x:f>IF(AND(AH$5&gt;=$D30,AH$5&lt;=$E30),1,0)</x:f>
        <x:v>0</x:v>
      </x:c>
      <x:c r="AI30" s="36" t="n">
        <x:f>IF(AND(AI$5&gt;=$D30,AI$5&lt;=$E30),1,0)</x:f>
        <x:v>0</x:v>
      </x:c>
      <x:c r="AJ30" s="36" t="n">
        <x:f>IF(AND(AJ$5&gt;=$D30,AJ$5&lt;=$E30),1,0)</x:f>
        <x:v>0</x:v>
      </x:c>
      <x:c r="AK30" s="36" t="n">
        <x:f>IF(AND(AK$5&gt;=$D30,AK$5&lt;=$E30),1,0)</x:f>
        <x:v>0</x:v>
      </x:c>
      <x:c r="AL30" s="36" t="n">
        <x:f>IF(AND(AL$5&gt;=$D30,AL$5&lt;=$E30),1,0)</x:f>
        <x:v>0</x:v>
      </x:c>
      <x:c r="AM30" s="36" t="n">
        <x:f>IF(AND(AM$5&gt;=$D30,AM$5&lt;=$E30),1,0)</x:f>
        <x:v>0</x:v>
      </x:c>
      <x:c r="AN30" s="36" t="n">
        <x:f>IF(AND(AN$5&gt;=$D30,AN$5&lt;=$E30),1,0)</x:f>
        <x:v>0</x:v>
      </x:c>
      <x:c r="AO30" s="36" t="n">
        <x:f>IF(AND(AO$5&gt;=$D30,AO$5&lt;=$E30),1,0)</x:f>
        <x:v>0</x:v>
      </x:c>
      <x:c r="AP30" s="36" t="n">
        <x:f>IF(AND(AP$5&gt;=$D30,AP$5&lt;=$E30),1,0)</x:f>
        <x:v>0</x:v>
      </x:c>
      <x:c r="AQ30" s="36" t="n">
        <x:f>IF(AND(AQ$5&gt;=$D30,AQ$5&lt;=$E30),1,0)</x:f>
        <x:v>0</x:v>
      </x:c>
    </x:row>
    <x:row r="31" ht="38" customHeight="1">
      <x:c r="A31" s="9" t="str">
        <x:v>C11</x:v>
      </x:c>
      <x:c r="B31" s="9" t="str">
        <x:v>Add deduplication and case-family grouping</x:v>
      </x:c>
      <x:c r="C31" s="9" t="str">
        <x:v>AI</x:v>
      </x:c>
      <x:c r="D31" s="9" t="n">
        <x:f>ROUNDUP('Tasks'!K31/5,0)</x:f>
        <x:v>6</x:v>
      </x:c>
      <x:c r="E31" s="9" t="n">
        <x:f>ROUNDUP('Tasks'!L31/5,0)</x:f>
        <x:v>7</x:v>
      </x:c>
      <x:c r="F31" s="9" t="str">
        <x:f>'Tasks'!R31</x:f>
        <x:v>Not started</x:v>
      </x:c>
      <x:c r="G31" s="37" t="n">
        <x:f>'Tasks'!S31</x:f>
        <x:v>0</x:v>
      </x:c>
      <x:c r="H31" s="38" t="n">
        <x:f>IF(AND(H$5&gt;=$D31,H$5&lt;=$E31),1,0)</x:f>
        <x:v>0</x:v>
      </x:c>
      <x:c r="I31" s="38" t="n">
        <x:f>IF(AND(I$5&gt;=$D31,I$5&lt;=$E31),1,0)</x:f>
        <x:v>0</x:v>
      </x:c>
      <x:c r="J31" s="38" t="n">
        <x:f>IF(AND(J$5&gt;=$D31,J$5&lt;=$E31),1,0)</x:f>
        <x:v>0</x:v>
      </x:c>
      <x:c r="K31" s="38" t="n">
        <x:f>IF(AND(K$5&gt;=$D31,K$5&lt;=$E31),1,0)</x:f>
        <x:v>0</x:v>
      </x:c>
      <x:c r="L31" s="38" t="n">
        <x:f>IF(AND(L$5&gt;=$D31,L$5&lt;=$E31),1,0)</x:f>
        <x:v>0</x:v>
      </x:c>
      <x:c r="M31" s="38" t="n">
        <x:f>IF(AND(M$5&gt;=$D31,M$5&lt;=$E31),1,0)</x:f>
        <x:v>1</x:v>
      </x:c>
      <x:c r="N31" s="38" t="n">
        <x:f>IF(AND(N$5&gt;=$D31,N$5&lt;=$E31),1,0)</x:f>
        <x:v>1</x:v>
      </x:c>
      <x:c r="O31" s="38" t="n">
        <x:f>IF(AND(O$5&gt;=$D31,O$5&lt;=$E31),1,0)</x:f>
        <x:v>0</x:v>
      </x:c>
      <x:c r="P31" s="38" t="n">
        <x:f>IF(AND(P$5&gt;=$D31,P$5&lt;=$E31),1,0)</x:f>
        <x:v>0</x:v>
      </x:c>
      <x:c r="Q31" s="38" t="n">
        <x:f>IF(AND(Q$5&gt;=$D31,Q$5&lt;=$E31),1,0)</x:f>
        <x:v>0</x:v>
      </x:c>
      <x:c r="R31" s="38" t="n">
        <x:f>IF(AND(R$5&gt;=$D31,R$5&lt;=$E31),1,0)</x:f>
        <x:v>0</x:v>
      </x:c>
      <x:c r="S31" s="38" t="n">
        <x:f>IF(AND(S$5&gt;=$D31,S$5&lt;=$E31),1,0)</x:f>
        <x:v>0</x:v>
      </x:c>
      <x:c r="T31" s="38" t="n">
        <x:f>IF(AND(T$5&gt;=$D31,T$5&lt;=$E31),1,0)</x:f>
        <x:v>0</x:v>
      </x:c>
      <x:c r="U31" s="38" t="n">
        <x:f>IF(AND(U$5&gt;=$D31,U$5&lt;=$E31),1,0)</x:f>
        <x:v>0</x:v>
      </x:c>
      <x:c r="V31" s="38" t="n">
        <x:f>IF(AND(V$5&gt;=$D31,V$5&lt;=$E31),1,0)</x:f>
        <x:v>0</x:v>
      </x:c>
      <x:c r="W31" s="38" t="n">
        <x:f>IF(AND(W$5&gt;=$D31,W$5&lt;=$E31),1,0)</x:f>
        <x:v>0</x:v>
      </x:c>
      <x:c r="X31" s="38" t="n">
        <x:f>IF(AND(X$5&gt;=$D31,X$5&lt;=$E31),1,0)</x:f>
        <x:v>0</x:v>
      </x:c>
      <x:c r="Y31" s="38" t="n">
        <x:f>IF(AND(Y$5&gt;=$D31,Y$5&lt;=$E31),1,0)</x:f>
        <x:v>0</x:v>
      </x:c>
      <x:c r="Z31" s="38" t="n">
        <x:f>IF(AND(Z$5&gt;=$D31,Z$5&lt;=$E31),1,0)</x:f>
        <x:v>0</x:v>
      </x:c>
      <x:c r="AA31" s="38" t="n">
        <x:f>IF(AND(AA$5&gt;=$D31,AA$5&lt;=$E31),1,0)</x:f>
        <x:v>0</x:v>
      </x:c>
      <x:c r="AB31" s="38" t="n">
        <x:f>IF(AND(AB$5&gt;=$D31,AB$5&lt;=$E31),1,0)</x:f>
        <x:v>0</x:v>
      </x:c>
      <x:c r="AC31" s="38" t="n">
        <x:f>IF(AND(AC$5&gt;=$D31,AC$5&lt;=$E31),1,0)</x:f>
        <x:v>0</x:v>
      </x:c>
      <x:c r="AD31" s="38" t="n">
        <x:f>IF(AND(AD$5&gt;=$D31,AD$5&lt;=$E31),1,0)</x:f>
        <x:v>0</x:v>
      </x:c>
      <x:c r="AE31" s="38" t="n">
        <x:f>IF(AND(AE$5&gt;=$D31,AE$5&lt;=$E31),1,0)</x:f>
        <x:v>0</x:v>
      </x:c>
      <x:c r="AF31" s="38" t="n">
        <x:f>IF(AND(AF$5&gt;=$D31,AF$5&lt;=$E31),1,0)</x:f>
        <x:v>0</x:v>
      </x:c>
      <x:c r="AG31" s="38" t="n">
        <x:f>IF(AND(AG$5&gt;=$D31,AG$5&lt;=$E31),1,0)</x:f>
        <x:v>0</x:v>
      </x:c>
      <x:c r="AH31" s="38" t="n">
        <x:f>IF(AND(AH$5&gt;=$D31,AH$5&lt;=$E31),1,0)</x:f>
        <x:v>0</x:v>
      </x:c>
      <x:c r="AI31" s="38" t="n">
        <x:f>IF(AND(AI$5&gt;=$D31,AI$5&lt;=$E31),1,0)</x:f>
        <x:v>0</x:v>
      </x:c>
      <x:c r="AJ31" s="38" t="n">
        <x:f>IF(AND(AJ$5&gt;=$D31,AJ$5&lt;=$E31),1,0)</x:f>
        <x:v>0</x:v>
      </x:c>
      <x:c r="AK31" s="38" t="n">
        <x:f>IF(AND(AK$5&gt;=$D31,AK$5&lt;=$E31),1,0)</x:f>
        <x:v>0</x:v>
      </x:c>
      <x:c r="AL31" s="38" t="n">
        <x:f>IF(AND(AL$5&gt;=$D31,AL$5&lt;=$E31),1,0)</x:f>
        <x:v>0</x:v>
      </x:c>
      <x:c r="AM31" s="38" t="n">
        <x:f>IF(AND(AM$5&gt;=$D31,AM$5&lt;=$E31),1,0)</x:f>
        <x:v>0</x:v>
      </x:c>
      <x:c r="AN31" s="38" t="n">
        <x:f>IF(AND(AN$5&gt;=$D31,AN$5&lt;=$E31),1,0)</x:f>
        <x:v>0</x:v>
      </x:c>
      <x:c r="AO31" s="38" t="n">
        <x:f>IF(AND(AO$5&gt;=$D31,AO$5&lt;=$E31),1,0)</x:f>
        <x:v>0</x:v>
      </x:c>
      <x:c r="AP31" s="38" t="n">
        <x:f>IF(AND(AP$5&gt;=$D31,AP$5&lt;=$E31),1,0)</x:f>
        <x:v>0</x:v>
      </x:c>
      <x:c r="AQ31" s="38" t="n">
        <x:f>IF(AND(AQ$5&gt;=$D31,AQ$5&lt;=$E31),1,0)</x:f>
        <x:v>0</x:v>
      </x:c>
    </x:row>
    <x:row r="32" ht="38" customHeight="1">
      <x:c r="A32" s="10" t="str">
        <x:v>C12</x:v>
      </x:c>
      <x:c r="B32" s="10" t="str">
        <x:v>Create batch audit and retry controls</x:v>
      </x:c>
      <x:c r="C32" s="10" t="str">
        <x:v>OPS</x:v>
      </x:c>
      <x:c r="D32" s="10" t="n">
        <x:f>ROUNDUP('Tasks'!K32/5,0)</x:f>
        <x:v>8</x:v>
      </x:c>
      <x:c r="E32" s="10" t="n">
        <x:f>ROUNDUP('Tasks'!L32/5,0)</x:f>
        <x:v>8</x:v>
      </x:c>
      <x:c r="F32" s="10" t="str">
        <x:f>'Tasks'!R32</x:f>
        <x:v>Not started</x:v>
      </x:c>
      <x:c r="G32" s="35" t="n">
        <x:f>'Tasks'!S32</x:f>
        <x:v>0</x:v>
      </x:c>
      <x:c r="H32" s="36" t="n">
        <x:f>IF(AND(H$5&gt;=$D32,H$5&lt;=$E32),1,0)</x:f>
        <x:v>0</x:v>
      </x:c>
      <x:c r="I32" s="36" t="n">
        <x:f>IF(AND(I$5&gt;=$D32,I$5&lt;=$E32),1,0)</x:f>
        <x:v>0</x:v>
      </x:c>
      <x:c r="J32" s="36" t="n">
        <x:f>IF(AND(J$5&gt;=$D32,J$5&lt;=$E32),1,0)</x:f>
        <x:v>0</x:v>
      </x:c>
      <x:c r="K32" s="36" t="n">
        <x:f>IF(AND(K$5&gt;=$D32,K$5&lt;=$E32),1,0)</x:f>
        <x:v>0</x:v>
      </x:c>
      <x:c r="L32" s="36" t="n">
        <x:f>IF(AND(L$5&gt;=$D32,L$5&lt;=$E32),1,0)</x:f>
        <x:v>0</x:v>
      </x:c>
      <x:c r="M32" s="36" t="n">
        <x:f>IF(AND(M$5&gt;=$D32,M$5&lt;=$E32),1,0)</x:f>
        <x:v>0</x:v>
      </x:c>
      <x:c r="N32" s="36" t="n">
        <x:f>IF(AND(N$5&gt;=$D32,N$5&lt;=$E32),1,0)</x:f>
        <x:v>0</x:v>
      </x:c>
      <x:c r="O32" s="36" t="n">
        <x:f>IF(AND(O$5&gt;=$D32,O$5&lt;=$E32),1,0)</x:f>
        <x:v>1</x:v>
      </x:c>
      <x:c r="P32" s="36" t="n">
        <x:f>IF(AND(P$5&gt;=$D32,P$5&lt;=$E32),1,0)</x:f>
        <x:v>0</x:v>
      </x:c>
      <x:c r="Q32" s="36" t="n">
        <x:f>IF(AND(Q$5&gt;=$D32,Q$5&lt;=$E32),1,0)</x:f>
        <x:v>0</x:v>
      </x:c>
      <x:c r="R32" s="36" t="n">
        <x:f>IF(AND(R$5&gt;=$D32,R$5&lt;=$E32),1,0)</x:f>
        <x:v>0</x:v>
      </x:c>
      <x:c r="S32" s="36" t="n">
        <x:f>IF(AND(S$5&gt;=$D32,S$5&lt;=$E32),1,0)</x:f>
        <x:v>0</x:v>
      </x:c>
      <x:c r="T32" s="36" t="n">
        <x:f>IF(AND(T$5&gt;=$D32,T$5&lt;=$E32),1,0)</x:f>
        <x:v>0</x:v>
      </x:c>
      <x:c r="U32" s="36" t="n">
        <x:f>IF(AND(U$5&gt;=$D32,U$5&lt;=$E32),1,0)</x:f>
        <x:v>0</x:v>
      </x:c>
      <x:c r="V32" s="36" t="n">
        <x:f>IF(AND(V$5&gt;=$D32,V$5&lt;=$E32),1,0)</x:f>
        <x:v>0</x:v>
      </x:c>
      <x:c r="W32" s="36" t="n">
        <x:f>IF(AND(W$5&gt;=$D32,W$5&lt;=$E32),1,0)</x:f>
        <x:v>0</x:v>
      </x:c>
      <x:c r="X32" s="36" t="n">
        <x:f>IF(AND(X$5&gt;=$D32,X$5&lt;=$E32),1,0)</x:f>
        <x:v>0</x:v>
      </x:c>
      <x:c r="Y32" s="36" t="n">
        <x:f>IF(AND(Y$5&gt;=$D32,Y$5&lt;=$E32),1,0)</x:f>
        <x:v>0</x:v>
      </x:c>
      <x:c r="Z32" s="36" t="n">
        <x:f>IF(AND(Z$5&gt;=$D32,Z$5&lt;=$E32),1,0)</x:f>
        <x:v>0</x:v>
      </x:c>
      <x:c r="AA32" s="36" t="n">
        <x:f>IF(AND(AA$5&gt;=$D32,AA$5&lt;=$E32),1,0)</x:f>
        <x:v>0</x:v>
      </x:c>
      <x:c r="AB32" s="36" t="n">
        <x:f>IF(AND(AB$5&gt;=$D32,AB$5&lt;=$E32),1,0)</x:f>
        <x:v>0</x:v>
      </x:c>
      <x:c r="AC32" s="36" t="n">
        <x:f>IF(AND(AC$5&gt;=$D32,AC$5&lt;=$E32),1,0)</x:f>
        <x:v>0</x:v>
      </x:c>
      <x:c r="AD32" s="36" t="n">
        <x:f>IF(AND(AD$5&gt;=$D32,AD$5&lt;=$E32),1,0)</x:f>
        <x:v>0</x:v>
      </x:c>
      <x:c r="AE32" s="36" t="n">
        <x:f>IF(AND(AE$5&gt;=$D32,AE$5&lt;=$E32),1,0)</x:f>
        <x:v>0</x:v>
      </x:c>
      <x:c r="AF32" s="36" t="n">
        <x:f>IF(AND(AF$5&gt;=$D32,AF$5&lt;=$E32),1,0)</x:f>
        <x:v>0</x:v>
      </x:c>
      <x:c r="AG32" s="36" t="n">
        <x:f>IF(AND(AG$5&gt;=$D32,AG$5&lt;=$E32),1,0)</x:f>
        <x:v>0</x:v>
      </x:c>
      <x:c r="AH32" s="36" t="n">
        <x:f>IF(AND(AH$5&gt;=$D32,AH$5&lt;=$E32),1,0)</x:f>
        <x:v>0</x:v>
      </x:c>
      <x:c r="AI32" s="36" t="n">
        <x:f>IF(AND(AI$5&gt;=$D32,AI$5&lt;=$E32),1,0)</x:f>
        <x:v>0</x:v>
      </x:c>
      <x:c r="AJ32" s="36" t="n">
        <x:f>IF(AND(AJ$5&gt;=$D32,AJ$5&lt;=$E32),1,0)</x:f>
        <x:v>0</x:v>
      </x:c>
      <x:c r="AK32" s="36" t="n">
        <x:f>IF(AND(AK$5&gt;=$D32,AK$5&lt;=$E32),1,0)</x:f>
        <x:v>0</x:v>
      </x:c>
      <x:c r="AL32" s="36" t="n">
        <x:f>IF(AND(AL$5&gt;=$D32,AL$5&lt;=$E32),1,0)</x:f>
        <x:v>0</x:v>
      </x:c>
      <x:c r="AM32" s="36" t="n">
        <x:f>IF(AND(AM$5&gt;=$D32,AM$5&lt;=$E32),1,0)</x:f>
        <x:v>0</x:v>
      </x:c>
      <x:c r="AN32" s="36" t="n">
        <x:f>IF(AND(AN$5&gt;=$D32,AN$5&lt;=$E32),1,0)</x:f>
        <x:v>0</x:v>
      </x:c>
      <x:c r="AO32" s="36" t="n">
        <x:f>IF(AND(AO$5&gt;=$D32,AO$5&lt;=$E32),1,0)</x:f>
        <x:v>0</x:v>
      </x:c>
      <x:c r="AP32" s="36" t="n">
        <x:f>IF(AND(AP$5&gt;=$D32,AP$5&lt;=$E32),1,0)</x:f>
        <x:v>0</x:v>
      </x:c>
      <x:c r="AQ32" s="36" t="n">
        <x:f>IF(AND(AQ$5&gt;=$D32,AQ$5&lt;=$E32),1,0)</x:f>
        <x:v>0</x:v>
      </x:c>
    </x:row>
    <x:row r="33" ht="38" customHeight="1">
      <x:c r="A33" s="9" t="str">
        <x:v>D01</x:v>
      </x:c>
      <x:c r="B33" s="9" t="str">
        <x:v>Author first original expert cases</x:v>
      </x:c>
      <x:c r="C33" s="9" t="str">
        <x:v>KE</x:v>
      </x:c>
      <x:c r="D33" s="9" t="n">
        <x:f>ROUNDUP('Tasks'!K33/5,0)</x:f>
        <x:v>4</x:v>
      </x:c>
      <x:c r="E33" s="9" t="n">
        <x:f>ROUNDUP('Tasks'!L33/5,0)</x:f>
        <x:v>5</x:v>
      </x:c>
      <x:c r="F33" s="9" t="str">
        <x:f>'Tasks'!R33</x:f>
        <x:v>Not started</x:v>
      </x:c>
      <x:c r="G33" s="37" t="n">
        <x:f>'Tasks'!S33</x:f>
        <x:v>0</x:v>
      </x:c>
      <x:c r="H33" s="38" t="n">
        <x:f>IF(AND(H$5&gt;=$D33,H$5&lt;=$E33),1,0)</x:f>
        <x:v>0</x:v>
      </x:c>
      <x:c r="I33" s="38" t="n">
        <x:f>IF(AND(I$5&gt;=$D33,I$5&lt;=$E33),1,0)</x:f>
        <x:v>0</x:v>
      </x:c>
      <x:c r="J33" s="38" t="n">
        <x:f>IF(AND(J$5&gt;=$D33,J$5&lt;=$E33),1,0)</x:f>
        <x:v>0</x:v>
      </x:c>
      <x:c r="K33" s="38" t="n">
        <x:f>IF(AND(K$5&gt;=$D33,K$5&lt;=$E33),1,0)</x:f>
        <x:v>1</x:v>
      </x:c>
      <x:c r="L33" s="38" t="n">
        <x:f>IF(AND(L$5&gt;=$D33,L$5&lt;=$E33),1,0)</x:f>
        <x:v>1</x:v>
      </x:c>
      <x:c r="M33" s="38" t="n">
        <x:f>IF(AND(M$5&gt;=$D33,M$5&lt;=$E33),1,0)</x:f>
        <x:v>0</x:v>
      </x:c>
      <x:c r="N33" s="38" t="n">
        <x:f>IF(AND(N$5&gt;=$D33,N$5&lt;=$E33),1,0)</x:f>
        <x:v>0</x:v>
      </x:c>
      <x:c r="O33" s="38" t="n">
        <x:f>IF(AND(O$5&gt;=$D33,O$5&lt;=$E33),1,0)</x:f>
        <x:v>0</x:v>
      </x:c>
      <x:c r="P33" s="38" t="n">
        <x:f>IF(AND(P$5&gt;=$D33,P$5&lt;=$E33),1,0)</x:f>
        <x:v>0</x:v>
      </x:c>
      <x:c r="Q33" s="38" t="n">
        <x:f>IF(AND(Q$5&gt;=$D33,Q$5&lt;=$E33),1,0)</x:f>
        <x:v>0</x:v>
      </x:c>
      <x:c r="R33" s="38" t="n">
        <x:f>IF(AND(R$5&gt;=$D33,R$5&lt;=$E33),1,0)</x:f>
        <x:v>0</x:v>
      </x:c>
      <x:c r="S33" s="38" t="n">
        <x:f>IF(AND(S$5&gt;=$D33,S$5&lt;=$E33),1,0)</x:f>
        <x:v>0</x:v>
      </x:c>
      <x:c r="T33" s="38" t="n">
        <x:f>IF(AND(T$5&gt;=$D33,T$5&lt;=$E33),1,0)</x:f>
        <x:v>0</x:v>
      </x:c>
      <x:c r="U33" s="38" t="n">
        <x:f>IF(AND(U$5&gt;=$D33,U$5&lt;=$E33),1,0)</x:f>
        <x:v>0</x:v>
      </x:c>
      <x:c r="V33" s="38" t="n">
        <x:f>IF(AND(V$5&gt;=$D33,V$5&lt;=$E33),1,0)</x:f>
        <x:v>0</x:v>
      </x:c>
      <x:c r="W33" s="38" t="n">
        <x:f>IF(AND(W$5&gt;=$D33,W$5&lt;=$E33),1,0)</x:f>
        <x:v>0</x:v>
      </x:c>
      <x:c r="X33" s="38" t="n">
        <x:f>IF(AND(X$5&gt;=$D33,X$5&lt;=$E33),1,0)</x:f>
        <x:v>0</x:v>
      </x:c>
      <x:c r="Y33" s="38" t="n">
        <x:f>IF(AND(Y$5&gt;=$D33,Y$5&lt;=$E33),1,0)</x:f>
        <x:v>0</x:v>
      </x:c>
      <x:c r="Z33" s="38" t="n">
        <x:f>IF(AND(Z$5&gt;=$D33,Z$5&lt;=$E33),1,0)</x:f>
        <x:v>0</x:v>
      </x:c>
      <x:c r="AA33" s="38" t="n">
        <x:f>IF(AND(AA$5&gt;=$D33,AA$5&lt;=$E33),1,0)</x:f>
        <x:v>0</x:v>
      </x:c>
      <x:c r="AB33" s="38" t="n">
        <x:f>IF(AND(AB$5&gt;=$D33,AB$5&lt;=$E33),1,0)</x:f>
        <x:v>0</x:v>
      </x:c>
      <x:c r="AC33" s="38" t="n">
        <x:f>IF(AND(AC$5&gt;=$D33,AC$5&lt;=$E33),1,0)</x:f>
        <x:v>0</x:v>
      </x:c>
      <x:c r="AD33" s="38" t="n">
        <x:f>IF(AND(AD$5&gt;=$D33,AD$5&lt;=$E33),1,0)</x:f>
        <x:v>0</x:v>
      </x:c>
      <x:c r="AE33" s="38" t="n">
        <x:f>IF(AND(AE$5&gt;=$D33,AE$5&lt;=$E33),1,0)</x:f>
        <x:v>0</x:v>
      </x:c>
      <x:c r="AF33" s="38" t="n">
        <x:f>IF(AND(AF$5&gt;=$D33,AF$5&lt;=$E33),1,0)</x:f>
        <x:v>0</x:v>
      </x:c>
      <x:c r="AG33" s="38" t="n">
        <x:f>IF(AND(AG$5&gt;=$D33,AG$5&lt;=$E33),1,0)</x:f>
        <x:v>0</x:v>
      </x:c>
      <x:c r="AH33" s="38" t="n">
        <x:f>IF(AND(AH$5&gt;=$D33,AH$5&lt;=$E33),1,0)</x:f>
        <x:v>0</x:v>
      </x:c>
      <x:c r="AI33" s="38" t="n">
        <x:f>IF(AND(AI$5&gt;=$D33,AI$5&lt;=$E33),1,0)</x:f>
        <x:v>0</x:v>
      </x:c>
      <x:c r="AJ33" s="38" t="n">
        <x:f>IF(AND(AJ$5&gt;=$D33,AJ$5&lt;=$E33),1,0)</x:f>
        <x:v>0</x:v>
      </x:c>
      <x:c r="AK33" s="38" t="n">
        <x:f>IF(AND(AK$5&gt;=$D33,AK$5&lt;=$E33),1,0)</x:f>
        <x:v>0</x:v>
      </x:c>
      <x:c r="AL33" s="38" t="n">
        <x:f>IF(AND(AL$5&gt;=$D33,AL$5&lt;=$E33),1,0)</x:f>
        <x:v>0</x:v>
      </x:c>
      <x:c r="AM33" s="38" t="n">
        <x:f>IF(AND(AM$5&gt;=$D33,AM$5&lt;=$E33),1,0)</x:f>
        <x:v>0</x:v>
      </x:c>
      <x:c r="AN33" s="38" t="n">
        <x:f>IF(AND(AN$5&gt;=$D33,AN$5&lt;=$E33),1,0)</x:f>
        <x:v>0</x:v>
      </x:c>
      <x:c r="AO33" s="38" t="n">
        <x:f>IF(AND(AO$5&gt;=$D33,AO$5&lt;=$E33),1,0)</x:f>
        <x:v>0</x:v>
      </x:c>
      <x:c r="AP33" s="38" t="n">
        <x:f>IF(AND(AP$5&gt;=$D33,AP$5&lt;=$E33),1,0)</x:f>
        <x:v>0</x:v>
      </x:c>
      <x:c r="AQ33" s="38" t="n">
        <x:f>IF(AND(AQ$5&gt;=$D33,AQ$5&lt;=$E33),1,0)</x:f>
        <x:v>0</x:v>
      </x:c>
    </x:row>
    <x:row r="34" ht="38" customHeight="1">
      <x:c r="A34" s="10" t="str">
        <x:v>D02</x:v>
      </x:c>
      <x:c r="B34" s="10" t="str">
        <x:v>Freeze initial family splits</x:v>
      </x:c>
      <x:c r="C34" s="10" t="str">
        <x:v>TD</x:v>
      </x:c>
      <x:c r="D34" s="10" t="n">
        <x:f>ROUNDUP('Tasks'!K34/5,0)</x:f>
        <x:v>7</x:v>
      </x:c>
      <x:c r="E34" s="10" t="n">
        <x:f>ROUNDUP('Tasks'!L34/5,0)</x:f>
        <x:v>7</x:v>
      </x:c>
      <x:c r="F34" s="10" t="str">
        <x:f>'Tasks'!R34</x:f>
        <x:v>Not started</x:v>
      </x:c>
      <x:c r="G34" s="35" t="n">
        <x:f>'Tasks'!S34</x:f>
        <x:v>0</x:v>
      </x:c>
      <x:c r="H34" s="36" t="n">
        <x:f>IF(AND(H$5&gt;=$D34,H$5&lt;=$E34),1,0)</x:f>
        <x:v>0</x:v>
      </x:c>
      <x:c r="I34" s="36" t="n">
        <x:f>IF(AND(I$5&gt;=$D34,I$5&lt;=$E34),1,0)</x:f>
        <x:v>0</x:v>
      </x:c>
      <x:c r="J34" s="36" t="n">
        <x:f>IF(AND(J$5&gt;=$D34,J$5&lt;=$E34),1,0)</x:f>
        <x:v>0</x:v>
      </x:c>
      <x:c r="K34" s="36" t="n">
        <x:f>IF(AND(K$5&gt;=$D34,K$5&lt;=$E34),1,0)</x:f>
        <x:v>0</x:v>
      </x:c>
      <x:c r="L34" s="36" t="n">
        <x:f>IF(AND(L$5&gt;=$D34,L$5&lt;=$E34),1,0)</x:f>
        <x:v>0</x:v>
      </x:c>
      <x:c r="M34" s="36" t="n">
        <x:f>IF(AND(M$5&gt;=$D34,M$5&lt;=$E34),1,0)</x:f>
        <x:v>0</x:v>
      </x:c>
      <x:c r="N34" s="36" t="n">
        <x:f>IF(AND(N$5&gt;=$D34,N$5&lt;=$E34),1,0)</x:f>
        <x:v>1</x:v>
      </x:c>
      <x:c r="O34" s="36" t="n">
        <x:f>IF(AND(O$5&gt;=$D34,O$5&lt;=$E34),1,0)</x:f>
        <x:v>0</x:v>
      </x:c>
      <x:c r="P34" s="36" t="n">
        <x:f>IF(AND(P$5&gt;=$D34,P$5&lt;=$E34),1,0)</x:f>
        <x:v>0</x:v>
      </x:c>
      <x:c r="Q34" s="36" t="n">
        <x:f>IF(AND(Q$5&gt;=$D34,Q$5&lt;=$E34),1,0)</x:f>
        <x:v>0</x:v>
      </x:c>
      <x:c r="R34" s="36" t="n">
        <x:f>IF(AND(R$5&gt;=$D34,R$5&lt;=$E34),1,0)</x:f>
        <x:v>0</x:v>
      </x:c>
      <x:c r="S34" s="36" t="n">
        <x:f>IF(AND(S$5&gt;=$D34,S$5&lt;=$E34),1,0)</x:f>
        <x:v>0</x:v>
      </x:c>
      <x:c r="T34" s="36" t="n">
        <x:f>IF(AND(T$5&gt;=$D34,T$5&lt;=$E34),1,0)</x:f>
        <x:v>0</x:v>
      </x:c>
      <x:c r="U34" s="36" t="n">
        <x:f>IF(AND(U$5&gt;=$D34,U$5&lt;=$E34),1,0)</x:f>
        <x:v>0</x:v>
      </x:c>
      <x:c r="V34" s="36" t="n">
        <x:f>IF(AND(V$5&gt;=$D34,V$5&lt;=$E34),1,0)</x:f>
        <x:v>0</x:v>
      </x:c>
      <x:c r="W34" s="36" t="n">
        <x:f>IF(AND(W$5&gt;=$D34,W$5&lt;=$E34),1,0)</x:f>
        <x:v>0</x:v>
      </x:c>
      <x:c r="X34" s="36" t="n">
        <x:f>IF(AND(X$5&gt;=$D34,X$5&lt;=$E34),1,0)</x:f>
        <x:v>0</x:v>
      </x:c>
      <x:c r="Y34" s="36" t="n">
        <x:f>IF(AND(Y$5&gt;=$D34,Y$5&lt;=$E34),1,0)</x:f>
        <x:v>0</x:v>
      </x:c>
      <x:c r="Z34" s="36" t="n">
        <x:f>IF(AND(Z$5&gt;=$D34,Z$5&lt;=$E34),1,0)</x:f>
        <x:v>0</x:v>
      </x:c>
      <x:c r="AA34" s="36" t="n">
        <x:f>IF(AND(AA$5&gt;=$D34,AA$5&lt;=$E34),1,0)</x:f>
        <x:v>0</x:v>
      </x:c>
      <x:c r="AB34" s="36" t="n">
        <x:f>IF(AND(AB$5&gt;=$D34,AB$5&lt;=$E34),1,0)</x:f>
        <x:v>0</x:v>
      </x:c>
      <x:c r="AC34" s="36" t="n">
        <x:f>IF(AND(AC$5&gt;=$D34,AC$5&lt;=$E34),1,0)</x:f>
        <x:v>0</x:v>
      </x:c>
      <x:c r="AD34" s="36" t="n">
        <x:f>IF(AND(AD$5&gt;=$D34,AD$5&lt;=$E34),1,0)</x:f>
        <x:v>0</x:v>
      </x:c>
      <x:c r="AE34" s="36" t="n">
        <x:f>IF(AND(AE$5&gt;=$D34,AE$5&lt;=$E34),1,0)</x:f>
        <x:v>0</x:v>
      </x:c>
      <x:c r="AF34" s="36" t="n">
        <x:f>IF(AND(AF$5&gt;=$D34,AF$5&lt;=$E34),1,0)</x:f>
        <x:v>0</x:v>
      </x:c>
      <x:c r="AG34" s="36" t="n">
        <x:f>IF(AND(AG$5&gt;=$D34,AG$5&lt;=$E34),1,0)</x:f>
        <x:v>0</x:v>
      </x:c>
      <x:c r="AH34" s="36" t="n">
        <x:f>IF(AND(AH$5&gt;=$D34,AH$5&lt;=$E34),1,0)</x:f>
        <x:v>0</x:v>
      </x:c>
      <x:c r="AI34" s="36" t="n">
        <x:f>IF(AND(AI$5&gt;=$D34,AI$5&lt;=$E34),1,0)</x:f>
        <x:v>0</x:v>
      </x:c>
      <x:c r="AJ34" s="36" t="n">
        <x:f>IF(AND(AJ$5&gt;=$D34,AJ$5&lt;=$E34),1,0)</x:f>
        <x:v>0</x:v>
      </x:c>
      <x:c r="AK34" s="36" t="n">
        <x:f>IF(AND(AK$5&gt;=$D34,AK$5&lt;=$E34),1,0)</x:f>
        <x:v>0</x:v>
      </x:c>
      <x:c r="AL34" s="36" t="n">
        <x:f>IF(AND(AL$5&gt;=$D34,AL$5&lt;=$E34),1,0)</x:f>
        <x:v>0</x:v>
      </x:c>
      <x:c r="AM34" s="36" t="n">
        <x:f>IF(AND(AM$5&gt;=$D34,AM$5&lt;=$E34),1,0)</x:f>
        <x:v>0</x:v>
      </x:c>
      <x:c r="AN34" s="36" t="n">
        <x:f>IF(AND(AN$5&gt;=$D34,AN$5&lt;=$E34),1,0)</x:f>
        <x:v>0</x:v>
      </x:c>
      <x:c r="AO34" s="36" t="n">
        <x:f>IF(AND(AO$5&gt;=$D34,AO$5&lt;=$E34),1,0)</x:f>
        <x:v>0</x:v>
      </x:c>
      <x:c r="AP34" s="36" t="n">
        <x:f>IF(AND(AP$5&gt;=$D34,AP$5&lt;=$E34),1,0)</x:f>
        <x:v>0</x:v>
      </x:c>
      <x:c r="AQ34" s="36" t="n">
        <x:f>IF(AND(AQ$5&gt;=$D34,AQ$5&lt;=$E34),1,0)</x:f>
        <x:v>0</x:v>
      </x:c>
    </x:row>
    <x:row r="35" ht="38" customHeight="1">
      <x:c r="A35" s="9" t="str">
        <x:v>D03</x:v>
      </x:c>
      <x:c r="B35" s="9" t="str">
        <x:v>Build first 400 reviewed SFT examples</x:v>
      </x:c>
      <x:c r="C35" s="9" t="str">
        <x:v>KE</x:v>
      </x:c>
      <x:c r="D35" s="9" t="n">
        <x:f>ROUNDUP('Tasks'!K35/5,0)</x:f>
        <x:v>9</x:v>
      </x:c>
      <x:c r="E35" s="9" t="n">
        <x:f>ROUNDUP('Tasks'!L35/5,0)</x:f>
        <x:v>10</x:v>
      </x:c>
      <x:c r="F35" s="9" t="str">
        <x:f>'Tasks'!R35</x:f>
        <x:v>Not started</x:v>
      </x:c>
      <x:c r="G35" s="37" t="n">
        <x:f>'Tasks'!S35</x:f>
        <x:v>0</x:v>
      </x:c>
      <x:c r="H35" s="38" t="n">
        <x:f>IF(AND(H$5&gt;=$D35,H$5&lt;=$E35),1,0)</x:f>
        <x:v>0</x:v>
      </x:c>
      <x:c r="I35" s="38" t="n">
        <x:f>IF(AND(I$5&gt;=$D35,I$5&lt;=$E35),1,0)</x:f>
        <x:v>0</x:v>
      </x:c>
      <x:c r="J35" s="38" t="n">
        <x:f>IF(AND(J$5&gt;=$D35,J$5&lt;=$E35),1,0)</x:f>
        <x:v>0</x:v>
      </x:c>
      <x:c r="K35" s="38" t="n">
        <x:f>IF(AND(K$5&gt;=$D35,K$5&lt;=$E35),1,0)</x:f>
        <x:v>0</x:v>
      </x:c>
      <x:c r="L35" s="38" t="n">
        <x:f>IF(AND(L$5&gt;=$D35,L$5&lt;=$E35),1,0)</x:f>
        <x:v>0</x:v>
      </x:c>
      <x:c r="M35" s="38" t="n">
        <x:f>IF(AND(M$5&gt;=$D35,M$5&lt;=$E35),1,0)</x:f>
        <x:v>0</x:v>
      </x:c>
      <x:c r="N35" s="38" t="n">
        <x:f>IF(AND(N$5&gt;=$D35,N$5&lt;=$E35),1,0)</x:f>
        <x:v>0</x:v>
      </x:c>
      <x:c r="O35" s="38" t="n">
        <x:f>IF(AND(O$5&gt;=$D35,O$5&lt;=$E35),1,0)</x:f>
        <x:v>0</x:v>
      </x:c>
      <x:c r="P35" s="38" t="n">
        <x:f>IF(AND(P$5&gt;=$D35,P$5&lt;=$E35),1,0)</x:f>
        <x:v>1</x:v>
      </x:c>
      <x:c r="Q35" s="38" t="n">
        <x:f>IF(AND(Q$5&gt;=$D35,Q$5&lt;=$E35),1,0)</x:f>
        <x:v>1</x:v>
      </x:c>
      <x:c r="R35" s="38" t="n">
        <x:f>IF(AND(R$5&gt;=$D35,R$5&lt;=$E35),1,0)</x:f>
        <x:v>0</x:v>
      </x:c>
      <x:c r="S35" s="38" t="n">
        <x:f>IF(AND(S$5&gt;=$D35,S$5&lt;=$E35),1,0)</x:f>
        <x:v>0</x:v>
      </x:c>
      <x:c r="T35" s="38" t="n">
        <x:f>IF(AND(T$5&gt;=$D35,T$5&lt;=$E35),1,0)</x:f>
        <x:v>0</x:v>
      </x:c>
      <x:c r="U35" s="38" t="n">
        <x:f>IF(AND(U$5&gt;=$D35,U$5&lt;=$E35),1,0)</x:f>
        <x:v>0</x:v>
      </x:c>
      <x:c r="V35" s="38" t="n">
        <x:f>IF(AND(V$5&gt;=$D35,V$5&lt;=$E35),1,0)</x:f>
        <x:v>0</x:v>
      </x:c>
      <x:c r="W35" s="38" t="n">
        <x:f>IF(AND(W$5&gt;=$D35,W$5&lt;=$E35),1,0)</x:f>
        <x:v>0</x:v>
      </x:c>
      <x:c r="X35" s="38" t="n">
        <x:f>IF(AND(X$5&gt;=$D35,X$5&lt;=$E35),1,0)</x:f>
        <x:v>0</x:v>
      </x:c>
      <x:c r="Y35" s="38" t="n">
        <x:f>IF(AND(Y$5&gt;=$D35,Y$5&lt;=$E35),1,0)</x:f>
        <x:v>0</x:v>
      </x:c>
      <x:c r="Z35" s="38" t="n">
        <x:f>IF(AND(Z$5&gt;=$D35,Z$5&lt;=$E35),1,0)</x:f>
        <x:v>0</x:v>
      </x:c>
      <x:c r="AA35" s="38" t="n">
        <x:f>IF(AND(AA$5&gt;=$D35,AA$5&lt;=$E35),1,0)</x:f>
        <x:v>0</x:v>
      </x:c>
      <x:c r="AB35" s="38" t="n">
        <x:f>IF(AND(AB$5&gt;=$D35,AB$5&lt;=$E35),1,0)</x:f>
        <x:v>0</x:v>
      </x:c>
      <x:c r="AC35" s="38" t="n">
        <x:f>IF(AND(AC$5&gt;=$D35,AC$5&lt;=$E35),1,0)</x:f>
        <x:v>0</x:v>
      </x:c>
      <x:c r="AD35" s="38" t="n">
        <x:f>IF(AND(AD$5&gt;=$D35,AD$5&lt;=$E35),1,0)</x:f>
        <x:v>0</x:v>
      </x:c>
      <x:c r="AE35" s="38" t="n">
        <x:f>IF(AND(AE$5&gt;=$D35,AE$5&lt;=$E35),1,0)</x:f>
        <x:v>0</x:v>
      </x:c>
      <x:c r="AF35" s="38" t="n">
        <x:f>IF(AND(AF$5&gt;=$D35,AF$5&lt;=$E35),1,0)</x:f>
        <x:v>0</x:v>
      </x:c>
      <x:c r="AG35" s="38" t="n">
        <x:f>IF(AND(AG$5&gt;=$D35,AG$5&lt;=$E35),1,0)</x:f>
        <x:v>0</x:v>
      </x:c>
      <x:c r="AH35" s="38" t="n">
        <x:f>IF(AND(AH$5&gt;=$D35,AH$5&lt;=$E35),1,0)</x:f>
        <x:v>0</x:v>
      </x:c>
      <x:c r="AI35" s="38" t="n">
        <x:f>IF(AND(AI$5&gt;=$D35,AI$5&lt;=$E35),1,0)</x:f>
        <x:v>0</x:v>
      </x:c>
      <x:c r="AJ35" s="38" t="n">
        <x:f>IF(AND(AJ$5&gt;=$D35,AJ$5&lt;=$E35),1,0)</x:f>
        <x:v>0</x:v>
      </x:c>
      <x:c r="AK35" s="38" t="n">
        <x:f>IF(AND(AK$5&gt;=$D35,AK$5&lt;=$E35),1,0)</x:f>
        <x:v>0</x:v>
      </x:c>
      <x:c r="AL35" s="38" t="n">
        <x:f>IF(AND(AL$5&gt;=$D35,AL$5&lt;=$E35),1,0)</x:f>
        <x:v>0</x:v>
      </x:c>
      <x:c r="AM35" s="38" t="n">
        <x:f>IF(AND(AM$5&gt;=$D35,AM$5&lt;=$E35),1,0)</x:f>
        <x:v>0</x:v>
      </x:c>
      <x:c r="AN35" s="38" t="n">
        <x:f>IF(AND(AN$5&gt;=$D35,AN$5&lt;=$E35),1,0)</x:f>
        <x:v>0</x:v>
      </x:c>
      <x:c r="AO35" s="38" t="n">
        <x:f>IF(AND(AO$5&gt;=$D35,AO$5&lt;=$E35),1,0)</x:f>
        <x:v>0</x:v>
      </x:c>
      <x:c r="AP35" s="38" t="n">
        <x:f>IF(AND(AP$5&gt;=$D35,AP$5&lt;=$E35),1,0)</x:f>
        <x:v>0</x:v>
      </x:c>
      <x:c r="AQ35" s="38" t="n">
        <x:f>IF(AND(AQ$5&gt;=$D35,AQ$5&lt;=$E35),1,0)</x:f>
        <x:v>0</x:v>
      </x:c>
    </x:row>
    <x:row r="36" ht="38" customHeight="1">
      <x:c r="A36" s="10" t="str">
        <x:v>D04</x:v>
      </x:c>
      <x:c r="B36" s="10" t="str">
        <x:v>Build baseline development questions</x:v>
      </x:c>
      <x:c r="C36" s="10" t="str">
        <x:v>TD</x:v>
      </x:c>
      <x:c r="D36" s="10" t="n">
        <x:f>ROUNDUP('Tasks'!K36/5,0)</x:f>
        <x:v>7</x:v>
      </x:c>
      <x:c r="E36" s="10" t="n">
        <x:f>ROUNDUP('Tasks'!L36/5,0)</x:f>
        <x:v>8</x:v>
      </x:c>
      <x:c r="F36" s="10" t="str">
        <x:f>'Tasks'!R36</x:f>
        <x:v>Not started</x:v>
      </x:c>
      <x:c r="G36" s="35" t="n">
        <x:f>'Tasks'!S36</x:f>
        <x:v>0</x:v>
      </x:c>
      <x:c r="H36" s="36" t="n">
        <x:f>IF(AND(H$5&gt;=$D36,H$5&lt;=$E36),1,0)</x:f>
        <x:v>0</x:v>
      </x:c>
      <x:c r="I36" s="36" t="n">
        <x:f>IF(AND(I$5&gt;=$D36,I$5&lt;=$E36),1,0)</x:f>
        <x:v>0</x:v>
      </x:c>
      <x:c r="J36" s="36" t="n">
        <x:f>IF(AND(J$5&gt;=$D36,J$5&lt;=$E36),1,0)</x:f>
        <x:v>0</x:v>
      </x:c>
      <x:c r="K36" s="36" t="n">
        <x:f>IF(AND(K$5&gt;=$D36,K$5&lt;=$E36),1,0)</x:f>
        <x:v>0</x:v>
      </x:c>
      <x:c r="L36" s="36" t="n">
        <x:f>IF(AND(L$5&gt;=$D36,L$5&lt;=$E36),1,0)</x:f>
        <x:v>0</x:v>
      </x:c>
      <x:c r="M36" s="36" t="n">
        <x:f>IF(AND(M$5&gt;=$D36,M$5&lt;=$E36),1,0)</x:f>
        <x:v>0</x:v>
      </x:c>
      <x:c r="N36" s="36" t="n">
        <x:f>IF(AND(N$5&gt;=$D36,N$5&lt;=$E36),1,0)</x:f>
        <x:v>1</x:v>
      </x:c>
      <x:c r="O36" s="36" t="n">
        <x:f>IF(AND(O$5&gt;=$D36,O$5&lt;=$E36),1,0)</x:f>
        <x:v>1</x:v>
      </x:c>
      <x:c r="P36" s="36" t="n">
        <x:f>IF(AND(P$5&gt;=$D36,P$5&lt;=$E36),1,0)</x:f>
        <x:v>0</x:v>
      </x:c>
      <x:c r="Q36" s="36" t="n">
        <x:f>IF(AND(Q$5&gt;=$D36,Q$5&lt;=$E36),1,0)</x:f>
        <x:v>0</x:v>
      </x:c>
      <x:c r="R36" s="36" t="n">
        <x:f>IF(AND(R$5&gt;=$D36,R$5&lt;=$E36),1,0)</x:f>
        <x:v>0</x:v>
      </x:c>
      <x:c r="S36" s="36" t="n">
        <x:f>IF(AND(S$5&gt;=$D36,S$5&lt;=$E36),1,0)</x:f>
        <x:v>0</x:v>
      </x:c>
      <x:c r="T36" s="36" t="n">
        <x:f>IF(AND(T$5&gt;=$D36,T$5&lt;=$E36),1,0)</x:f>
        <x:v>0</x:v>
      </x:c>
      <x:c r="U36" s="36" t="n">
        <x:f>IF(AND(U$5&gt;=$D36,U$5&lt;=$E36),1,0)</x:f>
        <x:v>0</x:v>
      </x:c>
      <x:c r="V36" s="36" t="n">
        <x:f>IF(AND(V$5&gt;=$D36,V$5&lt;=$E36),1,0)</x:f>
        <x:v>0</x:v>
      </x:c>
      <x:c r="W36" s="36" t="n">
        <x:f>IF(AND(W$5&gt;=$D36,W$5&lt;=$E36),1,0)</x:f>
        <x:v>0</x:v>
      </x:c>
      <x:c r="X36" s="36" t="n">
        <x:f>IF(AND(X$5&gt;=$D36,X$5&lt;=$E36),1,0)</x:f>
        <x:v>0</x:v>
      </x:c>
      <x:c r="Y36" s="36" t="n">
        <x:f>IF(AND(Y$5&gt;=$D36,Y$5&lt;=$E36),1,0)</x:f>
        <x:v>0</x:v>
      </x:c>
      <x:c r="Z36" s="36" t="n">
        <x:f>IF(AND(Z$5&gt;=$D36,Z$5&lt;=$E36),1,0)</x:f>
        <x:v>0</x:v>
      </x:c>
      <x:c r="AA36" s="36" t="n">
        <x:f>IF(AND(AA$5&gt;=$D36,AA$5&lt;=$E36),1,0)</x:f>
        <x:v>0</x:v>
      </x:c>
      <x:c r="AB36" s="36" t="n">
        <x:f>IF(AND(AB$5&gt;=$D36,AB$5&lt;=$E36),1,0)</x:f>
        <x:v>0</x:v>
      </x:c>
      <x:c r="AC36" s="36" t="n">
        <x:f>IF(AND(AC$5&gt;=$D36,AC$5&lt;=$E36),1,0)</x:f>
        <x:v>0</x:v>
      </x:c>
      <x:c r="AD36" s="36" t="n">
        <x:f>IF(AND(AD$5&gt;=$D36,AD$5&lt;=$E36),1,0)</x:f>
        <x:v>0</x:v>
      </x:c>
      <x:c r="AE36" s="36" t="n">
        <x:f>IF(AND(AE$5&gt;=$D36,AE$5&lt;=$E36),1,0)</x:f>
        <x:v>0</x:v>
      </x:c>
      <x:c r="AF36" s="36" t="n">
        <x:f>IF(AND(AF$5&gt;=$D36,AF$5&lt;=$E36),1,0)</x:f>
        <x:v>0</x:v>
      </x:c>
      <x:c r="AG36" s="36" t="n">
        <x:f>IF(AND(AG$5&gt;=$D36,AG$5&lt;=$E36),1,0)</x:f>
        <x:v>0</x:v>
      </x:c>
      <x:c r="AH36" s="36" t="n">
        <x:f>IF(AND(AH$5&gt;=$D36,AH$5&lt;=$E36),1,0)</x:f>
        <x:v>0</x:v>
      </x:c>
      <x:c r="AI36" s="36" t="n">
        <x:f>IF(AND(AI$5&gt;=$D36,AI$5&lt;=$E36),1,0)</x:f>
        <x:v>0</x:v>
      </x:c>
      <x:c r="AJ36" s="36" t="n">
        <x:f>IF(AND(AJ$5&gt;=$D36,AJ$5&lt;=$E36),1,0)</x:f>
        <x:v>0</x:v>
      </x:c>
      <x:c r="AK36" s="36" t="n">
        <x:f>IF(AND(AK$5&gt;=$D36,AK$5&lt;=$E36),1,0)</x:f>
        <x:v>0</x:v>
      </x:c>
      <x:c r="AL36" s="36" t="n">
        <x:f>IF(AND(AL$5&gt;=$D36,AL$5&lt;=$E36),1,0)</x:f>
        <x:v>0</x:v>
      </x:c>
      <x:c r="AM36" s="36" t="n">
        <x:f>IF(AND(AM$5&gt;=$D36,AM$5&lt;=$E36),1,0)</x:f>
        <x:v>0</x:v>
      </x:c>
      <x:c r="AN36" s="36" t="n">
        <x:f>IF(AND(AN$5&gt;=$D36,AN$5&lt;=$E36),1,0)</x:f>
        <x:v>0</x:v>
      </x:c>
      <x:c r="AO36" s="36" t="n">
        <x:f>IF(AND(AO$5&gt;=$D36,AO$5&lt;=$E36),1,0)</x:f>
        <x:v>0</x:v>
      </x:c>
      <x:c r="AP36" s="36" t="n">
        <x:f>IF(AND(AP$5&gt;=$D36,AP$5&lt;=$E36),1,0)</x:f>
        <x:v>0</x:v>
      </x:c>
      <x:c r="AQ36" s="36" t="n">
        <x:f>IF(AND(AQ$5&gt;=$D36,AQ$5&lt;=$E36),1,0)</x:f>
        <x:v>0</x:v>
      </x:c>
    </x:row>
    <x:row r="37" ht="38" customHeight="1">
      <x:c r="A37" s="9" t="str">
        <x:v>E01</x:v>
      </x:c>
      <x:c r="B37" s="9" t="str">
        <x:v>Build evidence chunks and citation mapping</x:v>
      </x:c>
      <x:c r="C37" s="9" t="str">
        <x:v>AI</x:v>
      </x:c>
      <x:c r="D37" s="9" t="n">
        <x:f>ROUNDUP('Tasks'!K37/5,0)</x:f>
        <x:v>8</x:v>
      </x:c>
      <x:c r="E37" s="9" t="n">
        <x:f>ROUNDUP('Tasks'!L37/5,0)</x:f>
        <x:v>9</x:v>
      </x:c>
      <x:c r="F37" s="9" t="str">
        <x:f>'Tasks'!R37</x:f>
        <x:v>Not started</x:v>
      </x:c>
      <x:c r="G37" s="37" t="n">
        <x:f>'Tasks'!S37</x:f>
        <x:v>0</x:v>
      </x:c>
      <x:c r="H37" s="38" t="n">
        <x:f>IF(AND(H$5&gt;=$D37,H$5&lt;=$E37),1,0)</x:f>
        <x:v>0</x:v>
      </x:c>
      <x:c r="I37" s="38" t="n">
        <x:f>IF(AND(I$5&gt;=$D37,I$5&lt;=$E37),1,0)</x:f>
        <x:v>0</x:v>
      </x:c>
      <x:c r="J37" s="38" t="n">
        <x:f>IF(AND(J$5&gt;=$D37,J$5&lt;=$E37),1,0)</x:f>
        <x:v>0</x:v>
      </x:c>
      <x:c r="K37" s="38" t="n">
        <x:f>IF(AND(K$5&gt;=$D37,K$5&lt;=$E37),1,0)</x:f>
        <x:v>0</x:v>
      </x:c>
      <x:c r="L37" s="38" t="n">
        <x:f>IF(AND(L$5&gt;=$D37,L$5&lt;=$E37),1,0)</x:f>
        <x:v>0</x:v>
      </x:c>
      <x:c r="M37" s="38" t="n">
        <x:f>IF(AND(M$5&gt;=$D37,M$5&lt;=$E37),1,0)</x:f>
        <x:v>0</x:v>
      </x:c>
      <x:c r="N37" s="38" t="n">
        <x:f>IF(AND(N$5&gt;=$D37,N$5&lt;=$E37),1,0)</x:f>
        <x:v>0</x:v>
      </x:c>
      <x:c r="O37" s="38" t="n">
        <x:f>IF(AND(O$5&gt;=$D37,O$5&lt;=$E37),1,0)</x:f>
        <x:v>1</x:v>
      </x:c>
      <x:c r="P37" s="38" t="n">
        <x:f>IF(AND(P$5&gt;=$D37,P$5&lt;=$E37),1,0)</x:f>
        <x:v>1</x:v>
      </x:c>
      <x:c r="Q37" s="38" t="n">
        <x:f>IF(AND(Q$5&gt;=$D37,Q$5&lt;=$E37),1,0)</x:f>
        <x:v>0</x:v>
      </x:c>
      <x:c r="R37" s="38" t="n">
        <x:f>IF(AND(R$5&gt;=$D37,R$5&lt;=$E37),1,0)</x:f>
        <x:v>0</x:v>
      </x:c>
      <x:c r="S37" s="38" t="n">
        <x:f>IF(AND(S$5&gt;=$D37,S$5&lt;=$E37),1,0)</x:f>
        <x:v>0</x:v>
      </x:c>
      <x:c r="T37" s="38" t="n">
        <x:f>IF(AND(T$5&gt;=$D37,T$5&lt;=$E37),1,0)</x:f>
        <x:v>0</x:v>
      </x:c>
      <x:c r="U37" s="38" t="n">
        <x:f>IF(AND(U$5&gt;=$D37,U$5&lt;=$E37),1,0)</x:f>
        <x:v>0</x:v>
      </x:c>
      <x:c r="V37" s="38" t="n">
        <x:f>IF(AND(V$5&gt;=$D37,V$5&lt;=$E37),1,0)</x:f>
        <x:v>0</x:v>
      </x:c>
      <x:c r="W37" s="38" t="n">
        <x:f>IF(AND(W$5&gt;=$D37,W$5&lt;=$E37),1,0)</x:f>
        <x:v>0</x:v>
      </x:c>
      <x:c r="X37" s="38" t="n">
        <x:f>IF(AND(X$5&gt;=$D37,X$5&lt;=$E37),1,0)</x:f>
        <x:v>0</x:v>
      </x:c>
      <x:c r="Y37" s="38" t="n">
        <x:f>IF(AND(Y$5&gt;=$D37,Y$5&lt;=$E37),1,0)</x:f>
        <x:v>0</x:v>
      </x:c>
      <x:c r="Z37" s="38" t="n">
        <x:f>IF(AND(Z$5&gt;=$D37,Z$5&lt;=$E37),1,0)</x:f>
        <x:v>0</x:v>
      </x:c>
      <x:c r="AA37" s="38" t="n">
        <x:f>IF(AND(AA$5&gt;=$D37,AA$5&lt;=$E37),1,0)</x:f>
        <x:v>0</x:v>
      </x:c>
      <x:c r="AB37" s="38" t="n">
        <x:f>IF(AND(AB$5&gt;=$D37,AB$5&lt;=$E37),1,0)</x:f>
        <x:v>0</x:v>
      </x:c>
      <x:c r="AC37" s="38" t="n">
        <x:f>IF(AND(AC$5&gt;=$D37,AC$5&lt;=$E37),1,0)</x:f>
        <x:v>0</x:v>
      </x:c>
      <x:c r="AD37" s="38" t="n">
        <x:f>IF(AND(AD$5&gt;=$D37,AD$5&lt;=$E37),1,0)</x:f>
        <x:v>0</x:v>
      </x:c>
      <x:c r="AE37" s="38" t="n">
        <x:f>IF(AND(AE$5&gt;=$D37,AE$5&lt;=$E37),1,0)</x:f>
        <x:v>0</x:v>
      </x:c>
      <x:c r="AF37" s="38" t="n">
        <x:f>IF(AND(AF$5&gt;=$D37,AF$5&lt;=$E37),1,0)</x:f>
        <x:v>0</x:v>
      </x:c>
      <x:c r="AG37" s="38" t="n">
        <x:f>IF(AND(AG$5&gt;=$D37,AG$5&lt;=$E37),1,0)</x:f>
        <x:v>0</x:v>
      </x:c>
      <x:c r="AH37" s="38" t="n">
        <x:f>IF(AND(AH$5&gt;=$D37,AH$5&lt;=$E37),1,0)</x:f>
        <x:v>0</x:v>
      </x:c>
      <x:c r="AI37" s="38" t="n">
        <x:f>IF(AND(AI$5&gt;=$D37,AI$5&lt;=$E37),1,0)</x:f>
        <x:v>0</x:v>
      </x:c>
      <x:c r="AJ37" s="38" t="n">
        <x:f>IF(AND(AJ$5&gt;=$D37,AJ$5&lt;=$E37),1,0)</x:f>
        <x:v>0</x:v>
      </x:c>
      <x:c r="AK37" s="38" t="n">
        <x:f>IF(AND(AK$5&gt;=$D37,AK$5&lt;=$E37),1,0)</x:f>
        <x:v>0</x:v>
      </x:c>
      <x:c r="AL37" s="38" t="n">
        <x:f>IF(AND(AL$5&gt;=$D37,AL$5&lt;=$E37),1,0)</x:f>
        <x:v>0</x:v>
      </x:c>
      <x:c r="AM37" s="38" t="n">
        <x:f>IF(AND(AM$5&gt;=$D37,AM$5&lt;=$E37),1,0)</x:f>
        <x:v>0</x:v>
      </x:c>
      <x:c r="AN37" s="38" t="n">
        <x:f>IF(AND(AN$5&gt;=$D37,AN$5&lt;=$E37),1,0)</x:f>
        <x:v>0</x:v>
      </x:c>
      <x:c r="AO37" s="38" t="n">
        <x:f>IF(AND(AO$5&gt;=$D37,AO$5&lt;=$E37),1,0)</x:f>
        <x:v>0</x:v>
      </x:c>
      <x:c r="AP37" s="38" t="n">
        <x:f>IF(AND(AP$5&gt;=$D37,AP$5&lt;=$E37),1,0)</x:f>
        <x:v>0</x:v>
      </x:c>
      <x:c r="AQ37" s="38" t="n">
        <x:f>IF(AND(AQ$5&gt;=$D37,AQ$5&lt;=$E37),1,0)</x:f>
        <x:v>0</x:v>
      </x:c>
    </x:row>
    <x:row r="38" ht="38" customHeight="1">
      <x:c r="A38" s="10" t="str">
        <x:v>E02</x:v>
      </x:c>
      <x:c r="B38" s="10" t="str">
        <x:v>Load lexical and vector retrieval index</x:v>
      </x:c>
      <x:c r="C38" s="10" t="str">
        <x:v>AI</x:v>
      </x:c>
      <x:c r="D38" s="10" t="n">
        <x:f>ROUNDUP('Tasks'!K38/5,0)</x:f>
        <x:v>9</x:v>
      </x:c>
      <x:c r="E38" s="10" t="n">
        <x:f>ROUNDUP('Tasks'!L38/5,0)</x:f>
        <x:v>9</x:v>
      </x:c>
      <x:c r="F38" s="10" t="str">
        <x:f>'Tasks'!R38</x:f>
        <x:v>Not started</x:v>
      </x:c>
      <x:c r="G38" s="35" t="n">
        <x:f>'Tasks'!S38</x:f>
        <x:v>0</x:v>
      </x:c>
      <x:c r="H38" s="36" t="n">
        <x:f>IF(AND(H$5&gt;=$D38,H$5&lt;=$E38),1,0)</x:f>
        <x:v>0</x:v>
      </x:c>
      <x:c r="I38" s="36" t="n">
        <x:f>IF(AND(I$5&gt;=$D38,I$5&lt;=$E38),1,0)</x:f>
        <x:v>0</x:v>
      </x:c>
      <x:c r="J38" s="36" t="n">
        <x:f>IF(AND(J$5&gt;=$D38,J$5&lt;=$E38),1,0)</x:f>
        <x:v>0</x:v>
      </x:c>
      <x:c r="K38" s="36" t="n">
        <x:f>IF(AND(K$5&gt;=$D38,K$5&lt;=$E38),1,0)</x:f>
        <x:v>0</x:v>
      </x:c>
      <x:c r="L38" s="36" t="n">
        <x:f>IF(AND(L$5&gt;=$D38,L$5&lt;=$E38),1,0)</x:f>
        <x:v>0</x:v>
      </x:c>
      <x:c r="M38" s="36" t="n">
        <x:f>IF(AND(M$5&gt;=$D38,M$5&lt;=$E38),1,0)</x:f>
        <x:v>0</x:v>
      </x:c>
      <x:c r="N38" s="36" t="n">
        <x:f>IF(AND(N$5&gt;=$D38,N$5&lt;=$E38),1,0)</x:f>
        <x:v>0</x:v>
      </x:c>
      <x:c r="O38" s="36" t="n">
        <x:f>IF(AND(O$5&gt;=$D38,O$5&lt;=$E38),1,0)</x:f>
        <x:v>0</x:v>
      </x:c>
      <x:c r="P38" s="36" t="n">
        <x:f>IF(AND(P$5&gt;=$D38,P$5&lt;=$E38),1,0)</x:f>
        <x:v>1</x:v>
      </x:c>
      <x:c r="Q38" s="36" t="n">
        <x:f>IF(AND(Q$5&gt;=$D38,Q$5&lt;=$E38),1,0)</x:f>
        <x:v>0</x:v>
      </x:c>
      <x:c r="R38" s="36" t="n">
        <x:f>IF(AND(R$5&gt;=$D38,R$5&lt;=$E38),1,0)</x:f>
        <x:v>0</x:v>
      </x:c>
      <x:c r="S38" s="36" t="n">
        <x:f>IF(AND(S$5&gt;=$D38,S$5&lt;=$E38),1,0)</x:f>
        <x:v>0</x:v>
      </x:c>
      <x:c r="T38" s="36" t="n">
        <x:f>IF(AND(T$5&gt;=$D38,T$5&lt;=$E38),1,0)</x:f>
        <x:v>0</x:v>
      </x:c>
      <x:c r="U38" s="36" t="n">
        <x:f>IF(AND(U$5&gt;=$D38,U$5&lt;=$E38),1,0)</x:f>
        <x:v>0</x:v>
      </x:c>
      <x:c r="V38" s="36" t="n">
        <x:f>IF(AND(V$5&gt;=$D38,V$5&lt;=$E38),1,0)</x:f>
        <x:v>0</x:v>
      </x:c>
      <x:c r="W38" s="36" t="n">
        <x:f>IF(AND(W$5&gt;=$D38,W$5&lt;=$E38),1,0)</x:f>
        <x:v>0</x:v>
      </x:c>
      <x:c r="X38" s="36" t="n">
        <x:f>IF(AND(X$5&gt;=$D38,X$5&lt;=$E38),1,0)</x:f>
        <x:v>0</x:v>
      </x:c>
      <x:c r="Y38" s="36" t="n">
        <x:f>IF(AND(Y$5&gt;=$D38,Y$5&lt;=$E38),1,0)</x:f>
        <x:v>0</x:v>
      </x:c>
      <x:c r="Z38" s="36" t="n">
        <x:f>IF(AND(Z$5&gt;=$D38,Z$5&lt;=$E38),1,0)</x:f>
        <x:v>0</x:v>
      </x:c>
      <x:c r="AA38" s="36" t="n">
        <x:f>IF(AND(AA$5&gt;=$D38,AA$5&lt;=$E38),1,0)</x:f>
        <x:v>0</x:v>
      </x:c>
      <x:c r="AB38" s="36" t="n">
        <x:f>IF(AND(AB$5&gt;=$D38,AB$5&lt;=$E38),1,0)</x:f>
        <x:v>0</x:v>
      </x:c>
      <x:c r="AC38" s="36" t="n">
        <x:f>IF(AND(AC$5&gt;=$D38,AC$5&lt;=$E38),1,0)</x:f>
        <x:v>0</x:v>
      </x:c>
      <x:c r="AD38" s="36" t="n">
        <x:f>IF(AND(AD$5&gt;=$D38,AD$5&lt;=$E38),1,0)</x:f>
        <x:v>0</x:v>
      </x:c>
      <x:c r="AE38" s="36" t="n">
        <x:f>IF(AND(AE$5&gt;=$D38,AE$5&lt;=$E38),1,0)</x:f>
        <x:v>0</x:v>
      </x:c>
      <x:c r="AF38" s="36" t="n">
        <x:f>IF(AND(AF$5&gt;=$D38,AF$5&lt;=$E38),1,0)</x:f>
        <x:v>0</x:v>
      </x:c>
      <x:c r="AG38" s="36" t="n">
        <x:f>IF(AND(AG$5&gt;=$D38,AG$5&lt;=$E38),1,0)</x:f>
        <x:v>0</x:v>
      </x:c>
      <x:c r="AH38" s="36" t="n">
        <x:f>IF(AND(AH$5&gt;=$D38,AH$5&lt;=$E38),1,0)</x:f>
        <x:v>0</x:v>
      </x:c>
      <x:c r="AI38" s="36" t="n">
        <x:f>IF(AND(AI$5&gt;=$D38,AI$5&lt;=$E38),1,0)</x:f>
        <x:v>0</x:v>
      </x:c>
      <x:c r="AJ38" s="36" t="n">
        <x:f>IF(AND(AJ$5&gt;=$D38,AJ$5&lt;=$E38),1,0)</x:f>
        <x:v>0</x:v>
      </x:c>
      <x:c r="AK38" s="36" t="n">
        <x:f>IF(AND(AK$5&gt;=$D38,AK$5&lt;=$E38),1,0)</x:f>
        <x:v>0</x:v>
      </x:c>
      <x:c r="AL38" s="36" t="n">
        <x:f>IF(AND(AL$5&gt;=$D38,AL$5&lt;=$E38),1,0)</x:f>
        <x:v>0</x:v>
      </x:c>
      <x:c r="AM38" s="36" t="n">
        <x:f>IF(AND(AM$5&gt;=$D38,AM$5&lt;=$E38),1,0)</x:f>
        <x:v>0</x:v>
      </x:c>
      <x:c r="AN38" s="36" t="n">
        <x:f>IF(AND(AN$5&gt;=$D38,AN$5&lt;=$E38),1,0)</x:f>
        <x:v>0</x:v>
      </x:c>
      <x:c r="AO38" s="36" t="n">
        <x:f>IF(AND(AO$5&gt;=$D38,AO$5&lt;=$E38),1,0)</x:f>
        <x:v>0</x:v>
      </x:c>
      <x:c r="AP38" s="36" t="n">
        <x:f>IF(AND(AP$5&gt;=$D38,AP$5&lt;=$E38),1,0)</x:f>
        <x:v>0</x:v>
      </x:c>
      <x:c r="AQ38" s="36" t="n">
        <x:f>IF(AND(AQ$5&gt;=$D38,AQ$5&lt;=$E38),1,0)</x:f>
        <x:v>0</x:v>
      </x:c>
    </x:row>
    <x:row r="39" ht="38" customHeight="1">
      <x:c r="A39" s="9" t="str">
        <x:v>E03</x:v>
      </x:c>
      <x:c r="B39" s="9" t="str">
        <x:v>Create first validated calculation tools</x:v>
      </x:c>
      <x:c r="C39" s="9" t="str">
        <x:v>PAE</x:v>
      </x:c>
      <x:c r="D39" s="9" t="n">
        <x:f>ROUNDUP('Tasks'!K39/5,0)</x:f>
        <x:v>4</x:v>
      </x:c>
      <x:c r="E39" s="9" t="n">
        <x:f>ROUNDUP('Tasks'!L39/5,0)</x:f>
        <x:v>5</x:v>
      </x:c>
      <x:c r="F39" s="9" t="str">
        <x:f>'Tasks'!R39</x:f>
        <x:v>Not started</x:v>
      </x:c>
      <x:c r="G39" s="37" t="n">
        <x:f>'Tasks'!S39</x:f>
        <x:v>0</x:v>
      </x:c>
      <x:c r="H39" s="38" t="n">
        <x:f>IF(AND(H$5&gt;=$D39,H$5&lt;=$E39),1,0)</x:f>
        <x:v>0</x:v>
      </x:c>
      <x:c r="I39" s="38" t="n">
        <x:f>IF(AND(I$5&gt;=$D39,I$5&lt;=$E39),1,0)</x:f>
        <x:v>0</x:v>
      </x:c>
      <x:c r="J39" s="38" t="n">
        <x:f>IF(AND(J$5&gt;=$D39,J$5&lt;=$E39),1,0)</x:f>
        <x:v>0</x:v>
      </x:c>
      <x:c r="K39" s="38" t="n">
        <x:f>IF(AND(K$5&gt;=$D39,K$5&lt;=$E39),1,0)</x:f>
        <x:v>1</x:v>
      </x:c>
      <x:c r="L39" s="38" t="n">
        <x:f>IF(AND(L$5&gt;=$D39,L$5&lt;=$E39),1,0)</x:f>
        <x:v>1</x:v>
      </x:c>
      <x:c r="M39" s="38" t="n">
        <x:f>IF(AND(M$5&gt;=$D39,M$5&lt;=$E39),1,0)</x:f>
        <x:v>0</x:v>
      </x:c>
      <x:c r="N39" s="38" t="n">
        <x:f>IF(AND(N$5&gt;=$D39,N$5&lt;=$E39),1,0)</x:f>
        <x:v>0</x:v>
      </x:c>
      <x:c r="O39" s="38" t="n">
        <x:f>IF(AND(O$5&gt;=$D39,O$5&lt;=$E39),1,0)</x:f>
        <x:v>0</x:v>
      </x:c>
      <x:c r="P39" s="38" t="n">
        <x:f>IF(AND(P$5&gt;=$D39,P$5&lt;=$E39),1,0)</x:f>
        <x:v>0</x:v>
      </x:c>
      <x:c r="Q39" s="38" t="n">
        <x:f>IF(AND(Q$5&gt;=$D39,Q$5&lt;=$E39),1,0)</x:f>
        <x:v>0</x:v>
      </x:c>
      <x:c r="R39" s="38" t="n">
        <x:f>IF(AND(R$5&gt;=$D39,R$5&lt;=$E39),1,0)</x:f>
        <x:v>0</x:v>
      </x:c>
      <x:c r="S39" s="38" t="n">
        <x:f>IF(AND(S$5&gt;=$D39,S$5&lt;=$E39),1,0)</x:f>
        <x:v>0</x:v>
      </x:c>
      <x:c r="T39" s="38" t="n">
        <x:f>IF(AND(T$5&gt;=$D39,T$5&lt;=$E39),1,0)</x:f>
        <x:v>0</x:v>
      </x:c>
      <x:c r="U39" s="38" t="n">
        <x:f>IF(AND(U$5&gt;=$D39,U$5&lt;=$E39),1,0)</x:f>
        <x:v>0</x:v>
      </x:c>
      <x:c r="V39" s="38" t="n">
        <x:f>IF(AND(V$5&gt;=$D39,V$5&lt;=$E39),1,0)</x:f>
        <x:v>0</x:v>
      </x:c>
      <x:c r="W39" s="38" t="n">
        <x:f>IF(AND(W$5&gt;=$D39,W$5&lt;=$E39),1,0)</x:f>
        <x:v>0</x:v>
      </x:c>
      <x:c r="X39" s="38" t="n">
        <x:f>IF(AND(X$5&gt;=$D39,X$5&lt;=$E39),1,0)</x:f>
        <x:v>0</x:v>
      </x:c>
      <x:c r="Y39" s="38" t="n">
        <x:f>IF(AND(Y$5&gt;=$D39,Y$5&lt;=$E39),1,0)</x:f>
        <x:v>0</x:v>
      </x:c>
      <x:c r="Z39" s="38" t="n">
        <x:f>IF(AND(Z$5&gt;=$D39,Z$5&lt;=$E39),1,0)</x:f>
        <x:v>0</x:v>
      </x:c>
      <x:c r="AA39" s="38" t="n">
        <x:f>IF(AND(AA$5&gt;=$D39,AA$5&lt;=$E39),1,0)</x:f>
        <x:v>0</x:v>
      </x:c>
      <x:c r="AB39" s="38" t="n">
        <x:f>IF(AND(AB$5&gt;=$D39,AB$5&lt;=$E39),1,0)</x:f>
        <x:v>0</x:v>
      </x:c>
      <x:c r="AC39" s="38" t="n">
        <x:f>IF(AND(AC$5&gt;=$D39,AC$5&lt;=$E39),1,0)</x:f>
        <x:v>0</x:v>
      </x:c>
      <x:c r="AD39" s="38" t="n">
        <x:f>IF(AND(AD$5&gt;=$D39,AD$5&lt;=$E39),1,0)</x:f>
        <x:v>0</x:v>
      </x:c>
      <x:c r="AE39" s="38" t="n">
        <x:f>IF(AND(AE$5&gt;=$D39,AE$5&lt;=$E39),1,0)</x:f>
        <x:v>0</x:v>
      </x:c>
      <x:c r="AF39" s="38" t="n">
        <x:f>IF(AND(AF$5&gt;=$D39,AF$5&lt;=$E39),1,0)</x:f>
        <x:v>0</x:v>
      </x:c>
      <x:c r="AG39" s="38" t="n">
        <x:f>IF(AND(AG$5&gt;=$D39,AG$5&lt;=$E39),1,0)</x:f>
        <x:v>0</x:v>
      </x:c>
      <x:c r="AH39" s="38" t="n">
        <x:f>IF(AND(AH$5&gt;=$D39,AH$5&lt;=$E39),1,0)</x:f>
        <x:v>0</x:v>
      </x:c>
      <x:c r="AI39" s="38" t="n">
        <x:f>IF(AND(AI$5&gt;=$D39,AI$5&lt;=$E39),1,0)</x:f>
        <x:v>0</x:v>
      </x:c>
      <x:c r="AJ39" s="38" t="n">
        <x:f>IF(AND(AJ$5&gt;=$D39,AJ$5&lt;=$E39),1,0)</x:f>
        <x:v>0</x:v>
      </x:c>
      <x:c r="AK39" s="38" t="n">
        <x:f>IF(AND(AK$5&gt;=$D39,AK$5&lt;=$E39),1,0)</x:f>
        <x:v>0</x:v>
      </x:c>
      <x:c r="AL39" s="38" t="n">
        <x:f>IF(AND(AL$5&gt;=$D39,AL$5&lt;=$E39),1,0)</x:f>
        <x:v>0</x:v>
      </x:c>
      <x:c r="AM39" s="38" t="n">
        <x:f>IF(AND(AM$5&gt;=$D39,AM$5&lt;=$E39),1,0)</x:f>
        <x:v>0</x:v>
      </x:c>
      <x:c r="AN39" s="38" t="n">
        <x:f>IF(AND(AN$5&gt;=$D39,AN$5&lt;=$E39),1,0)</x:f>
        <x:v>0</x:v>
      </x:c>
      <x:c r="AO39" s="38" t="n">
        <x:f>IF(AND(AO$5&gt;=$D39,AO$5&lt;=$E39),1,0)</x:f>
        <x:v>0</x:v>
      </x:c>
      <x:c r="AP39" s="38" t="n">
        <x:f>IF(AND(AP$5&gt;=$D39,AP$5&lt;=$E39),1,0)</x:f>
        <x:v>0</x:v>
      </x:c>
      <x:c r="AQ39" s="38" t="n">
        <x:f>IF(AND(AQ$5&gt;=$D39,AQ$5&lt;=$E39),1,0)</x:f>
        <x:v>0</x:v>
      </x:c>
    </x:row>
    <x:row r="40" ht="38" customHeight="1">
      <x:c r="A40" s="10" t="str">
        <x:v>G1</x:v>
      </x:c>
      <x:c r="B40" s="10" t="str">
        <x:v>G1 accept working baseline</x:v>
      </x:c>
      <x:c r="C40" s="10" t="str">
        <x:v>HP</x:v>
      </x:c>
      <x:c r="D40" s="10" t="n">
        <x:f>ROUNDUP('Tasks'!K40/5,0)</x:f>
        <x:v>10</x:v>
      </x:c>
      <x:c r="E40" s="10" t="n">
        <x:f>ROUNDUP('Tasks'!L40/5,0)</x:f>
        <x:v>10</x:v>
      </x:c>
      <x:c r="F40" s="10" t="str">
        <x:f>'Tasks'!R40</x:f>
        <x:v>Not started</x:v>
      </x:c>
      <x:c r="G40" s="35" t="n">
        <x:f>'Tasks'!S40</x:f>
        <x:v>0</x:v>
      </x:c>
      <x:c r="H40" s="36" t="n">
        <x:f>IF(AND(H$5&gt;=$D40,H$5&lt;=$E40),1,0)</x:f>
        <x:v>0</x:v>
      </x:c>
      <x:c r="I40" s="36" t="n">
        <x:f>IF(AND(I$5&gt;=$D40,I$5&lt;=$E40),1,0)</x:f>
        <x:v>0</x:v>
      </x:c>
      <x:c r="J40" s="36" t="n">
        <x:f>IF(AND(J$5&gt;=$D40,J$5&lt;=$E40),1,0)</x:f>
        <x:v>0</x:v>
      </x:c>
      <x:c r="K40" s="36" t="n">
        <x:f>IF(AND(K$5&gt;=$D40,K$5&lt;=$E40),1,0)</x:f>
        <x:v>0</x:v>
      </x:c>
      <x:c r="L40" s="36" t="n">
        <x:f>IF(AND(L$5&gt;=$D40,L$5&lt;=$E40),1,0)</x:f>
        <x:v>0</x:v>
      </x:c>
      <x:c r="M40" s="36" t="n">
        <x:f>IF(AND(M$5&gt;=$D40,M$5&lt;=$E40),1,0)</x:f>
        <x:v>0</x:v>
      </x:c>
      <x:c r="N40" s="36" t="n">
        <x:f>IF(AND(N$5&gt;=$D40,N$5&lt;=$E40),1,0)</x:f>
        <x:v>0</x:v>
      </x:c>
      <x:c r="O40" s="36" t="n">
        <x:f>IF(AND(O$5&gt;=$D40,O$5&lt;=$E40),1,0)</x:f>
        <x:v>0</x:v>
      </x:c>
      <x:c r="P40" s="36" t="n">
        <x:f>IF(AND(P$5&gt;=$D40,P$5&lt;=$E40),1,0)</x:f>
        <x:v>0</x:v>
      </x:c>
      <x:c r="Q40" s="36" t="n">
        <x:f>IF(AND(Q$5&gt;=$D40,Q$5&lt;=$E40),1,0)</x:f>
        <x:v>1</x:v>
      </x:c>
      <x:c r="R40" s="36" t="n">
        <x:f>IF(AND(R$5&gt;=$D40,R$5&lt;=$E40),1,0)</x:f>
        <x:v>0</x:v>
      </x:c>
      <x:c r="S40" s="36" t="n">
        <x:f>IF(AND(S$5&gt;=$D40,S$5&lt;=$E40),1,0)</x:f>
        <x:v>0</x:v>
      </x:c>
      <x:c r="T40" s="36" t="n">
        <x:f>IF(AND(T$5&gt;=$D40,T$5&lt;=$E40),1,0)</x:f>
        <x:v>0</x:v>
      </x:c>
      <x:c r="U40" s="36" t="n">
        <x:f>IF(AND(U$5&gt;=$D40,U$5&lt;=$E40),1,0)</x:f>
        <x:v>0</x:v>
      </x:c>
      <x:c r="V40" s="36" t="n">
        <x:f>IF(AND(V$5&gt;=$D40,V$5&lt;=$E40),1,0)</x:f>
        <x:v>0</x:v>
      </x:c>
      <x:c r="W40" s="36" t="n">
        <x:f>IF(AND(W$5&gt;=$D40,W$5&lt;=$E40),1,0)</x:f>
        <x:v>0</x:v>
      </x:c>
      <x:c r="X40" s="36" t="n">
        <x:f>IF(AND(X$5&gt;=$D40,X$5&lt;=$E40),1,0)</x:f>
        <x:v>0</x:v>
      </x:c>
      <x:c r="Y40" s="36" t="n">
        <x:f>IF(AND(Y$5&gt;=$D40,Y$5&lt;=$E40),1,0)</x:f>
        <x:v>0</x:v>
      </x:c>
      <x:c r="Z40" s="36" t="n">
        <x:f>IF(AND(Z$5&gt;=$D40,Z$5&lt;=$E40),1,0)</x:f>
        <x:v>0</x:v>
      </x:c>
      <x:c r="AA40" s="36" t="n">
        <x:f>IF(AND(AA$5&gt;=$D40,AA$5&lt;=$E40),1,0)</x:f>
        <x:v>0</x:v>
      </x:c>
      <x:c r="AB40" s="36" t="n">
        <x:f>IF(AND(AB$5&gt;=$D40,AB$5&lt;=$E40),1,0)</x:f>
        <x:v>0</x:v>
      </x:c>
      <x:c r="AC40" s="36" t="n">
        <x:f>IF(AND(AC$5&gt;=$D40,AC$5&lt;=$E40),1,0)</x:f>
        <x:v>0</x:v>
      </x:c>
      <x:c r="AD40" s="36" t="n">
        <x:f>IF(AND(AD$5&gt;=$D40,AD$5&lt;=$E40),1,0)</x:f>
        <x:v>0</x:v>
      </x:c>
      <x:c r="AE40" s="36" t="n">
        <x:f>IF(AND(AE$5&gt;=$D40,AE$5&lt;=$E40),1,0)</x:f>
        <x:v>0</x:v>
      </x:c>
      <x:c r="AF40" s="36" t="n">
        <x:f>IF(AND(AF$5&gt;=$D40,AF$5&lt;=$E40),1,0)</x:f>
        <x:v>0</x:v>
      </x:c>
      <x:c r="AG40" s="36" t="n">
        <x:f>IF(AND(AG$5&gt;=$D40,AG$5&lt;=$E40),1,0)</x:f>
        <x:v>0</x:v>
      </x:c>
      <x:c r="AH40" s="36" t="n">
        <x:f>IF(AND(AH$5&gt;=$D40,AH$5&lt;=$E40),1,0)</x:f>
        <x:v>0</x:v>
      </x:c>
      <x:c r="AI40" s="36" t="n">
        <x:f>IF(AND(AI$5&gt;=$D40,AI$5&lt;=$E40),1,0)</x:f>
        <x:v>0</x:v>
      </x:c>
      <x:c r="AJ40" s="36" t="n">
        <x:f>IF(AND(AJ$5&gt;=$D40,AJ$5&lt;=$E40),1,0)</x:f>
        <x:v>0</x:v>
      </x:c>
      <x:c r="AK40" s="36" t="n">
        <x:f>IF(AND(AK$5&gt;=$D40,AK$5&lt;=$E40),1,0)</x:f>
        <x:v>0</x:v>
      </x:c>
      <x:c r="AL40" s="36" t="n">
        <x:f>IF(AND(AL$5&gt;=$D40,AL$5&lt;=$E40),1,0)</x:f>
        <x:v>0</x:v>
      </x:c>
      <x:c r="AM40" s="36" t="n">
        <x:f>IF(AND(AM$5&gt;=$D40,AM$5&lt;=$E40),1,0)</x:f>
        <x:v>0</x:v>
      </x:c>
      <x:c r="AN40" s="36" t="n">
        <x:f>IF(AND(AN$5&gt;=$D40,AN$5&lt;=$E40),1,0)</x:f>
        <x:v>0</x:v>
      </x:c>
      <x:c r="AO40" s="36" t="n">
        <x:f>IF(AND(AO$5&gt;=$D40,AO$5&lt;=$E40),1,0)</x:f>
        <x:v>0</x:v>
      </x:c>
      <x:c r="AP40" s="36" t="n">
        <x:f>IF(AND(AP$5&gt;=$D40,AP$5&lt;=$E40),1,0)</x:f>
        <x:v>0</x:v>
      </x:c>
      <x:c r="AQ40" s="36" t="n">
        <x:f>IF(AND(AQ$5&gt;=$D40,AQ$5&lt;=$E40),1,0)</x:f>
        <x:v>0</x:v>
      </x:c>
    </x:row>
    <x:row r="41" ht="38" customHeight="1">
      <x:c r="A41" s="9" t="str">
        <x:v>E04</x:v>
      </x:c>
      <x:c r="B41" s="9" t="str">
        <x:v>Benchmark retrieval and tune chunk policy</x:v>
      </x:c>
      <x:c r="C41" s="9" t="str">
        <x:v>AI</x:v>
      </x:c>
      <x:c r="D41" s="9" t="n">
        <x:f>ROUNDUP('Tasks'!K41/5,0)</x:f>
        <x:v>10</x:v>
      </x:c>
      <x:c r="E41" s="9" t="n">
        <x:f>ROUNDUP('Tasks'!L41/5,0)</x:f>
        <x:v>11</x:v>
      </x:c>
      <x:c r="F41" s="9" t="str">
        <x:f>'Tasks'!R41</x:f>
        <x:v>Not started</x:v>
      </x:c>
      <x:c r="G41" s="37" t="n">
        <x:f>'Tasks'!S41</x:f>
        <x:v>0</x:v>
      </x:c>
      <x:c r="H41" s="38" t="n">
        <x:f>IF(AND(H$5&gt;=$D41,H$5&lt;=$E41),1,0)</x:f>
        <x:v>0</x:v>
      </x:c>
      <x:c r="I41" s="38" t="n">
        <x:f>IF(AND(I$5&gt;=$D41,I$5&lt;=$E41),1,0)</x:f>
        <x:v>0</x:v>
      </x:c>
      <x:c r="J41" s="38" t="n">
        <x:f>IF(AND(J$5&gt;=$D41,J$5&lt;=$E41),1,0)</x:f>
        <x:v>0</x:v>
      </x:c>
      <x:c r="K41" s="38" t="n">
        <x:f>IF(AND(K$5&gt;=$D41,K$5&lt;=$E41),1,0)</x:f>
        <x:v>0</x:v>
      </x:c>
      <x:c r="L41" s="38" t="n">
        <x:f>IF(AND(L$5&gt;=$D41,L$5&lt;=$E41),1,0)</x:f>
        <x:v>0</x:v>
      </x:c>
      <x:c r="M41" s="38" t="n">
        <x:f>IF(AND(M$5&gt;=$D41,M$5&lt;=$E41),1,0)</x:f>
        <x:v>0</x:v>
      </x:c>
      <x:c r="N41" s="38" t="n">
        <x:f>IF(AND(N$5&gt;=$D41,N$5&lt;=$E41),1,0)</x:f>
        <x:v>0</x:v>
      </x:c>
      <x:c r="O41" s="38" t="n">
        <x:f>IF(AND(O$5&gt;=$D41,O$5&lt;=$E41),1,0)</x:f>
        <x:v>0</x:v>
      </x:c>
      <x:c r="P41" s="38" t="n">
        <x:f>IF(AND(P$5&gt;=$D41,P$5&lt;=$E41),1,0)</x:f>
        <x:v>0</x:v>
      </x:c>
      <x:c r="Q41" s="38" t="n">
        <x:f>IF(AND(Q$5&gt;=$D41,Q$5&lt;=$E41),1,0)</x:f>
        <x:v>1</x:v>
      </x:c>
      <x:c r="R41" s="38" t="n">
        <x:f>IF(AND(R$5&gt;=$D41,R$5&lt;=$E41),1,0)</x:f>
        <x:v>1</x:v>
      </x:c>
      <x:c r="S41" s="38" t="n">
        <x:f>IF(AND(S$5&gt;=$D41,S$5&lt;=$E41),1,0)</x:f>
        <x:v>0</x:v>
      </x:c>
      <x:c r="T41" s="38" t="n">
        <x:f>IF(AND(T$5&gt;=$D41,T$5&lt;=$E41),1,0)</x:f>
        <x:v>0</x:v>
      </x:c>
      <x:c r="U41" s="38" t="n">
        <x:f>IF(AND(U$5&gt;=$D41,U$5&lt;=$E41),1,0)</x:f>
        <x:v>0</x:v>
      </x:c>
      <x:c r="V41" s="38" t="n">
        <x:f>IF(AND(V$5&gt;=$D41,V$5&lt;=$E41),1,0)</x:f>
        <x:v>0</x:v>
      </x:c>
      <x:c r="W41" s="38" t="n">
        <x:f>IF(AND(W$5&gt;=$D41,W$5&lt;=$E41),1,0)</x:f>
        <x:v>0</x:v>
      </x:c>
      <x:c r="X41" s="38" t="n">
        <x:f>IF(AND(X$5&gt;=$D41,X$5&lt;=$E41),1,0)</x:f>
        <x:v>0</x:v>
      </x:c>
      <x:c r="Y41" s="38" t="n">
        <x:f>IF(AND(Y$5&gt;=$D41,Y$5&lt;=$E41),1,0)</x:f>
        <x:v>0</x:v>
      </x:c>
      <x:c r="Z41" s="38" t="n">
        <x:f>IF(AND(Z$5&gt;=$D41,Z$5&lt;=$E41),1,0)</x:f>
        <x:v>0</x:v>
      </x:c>
      <x:c r="AA41" s="38" t="n">
        <x:f>IF(AND(AA$5&gt;=$D41,AA$5&lt;=$E41),1,0)</x:f>
        <x:v>0</x:v>
      </x:c>
      <x:c r="AB41" s="38" t="n">
        <x:f>IF(AND(AB$5&gt;=$D41,AB$5&lt;=$E41),1,0)</x:f>
        <x:v>0</x:v>
      </x:c>
      <x:c r="AC41" s="38" t="n">
        <x:f>IF(AND(AC$5&gt;=$D41,AC$5&lt;=$E41),1,0)</x:f>
        <x:v>0</x:v>
      </x:c>
      <x:c r="AD41" s="38" t="n">
        <x:f>IF(AND(AD$5&gt;=$D41,AD$5&lt;=$E41),1,0)</x:f>
        <x:v>0</x:v>
      </x:c>
      <x:c r="AE41" s="38" t="n">
        <x:f>IF(AND(AE$5&gt;=$D41,AE$5&lt;=$E41),1,0)</x:f>
        <x:v>0</x:v>
      </x:c>
      <x:c r="AF41" s="38" t="n">
        <x:f>IF(AND(AF$5&gt;=$D41,AF$5&lt;=$E41),1,0)</x:f>
        <x:v>0</x:v>
      </x:c>
      <x:c r="AG41" s="38" t="n">
        <x:f>IF(AND(AG$5&gt;=$D41,AG$5&lt;=$E41),1,0)</x:f>
        <x:v>0</x:v>
      </x:c>
      <x:c r="AH41" s="38" t="n">
        <x:f>IF(AND(AH$5&gt;=$D41,AH$5&lt;=$E41),1,0)</x:f>
        <x:v>0</x:v>
      </x:c>
      <x:c r="AI41" s="38" t="n">
        <x:f>IF(AND(AI$5&gt;=$D41,AI$5&lt;=$E41),1,0)</x:f>
        <x:v>0</x:v>
      </x:c>
      <x:c r="AJ41" s="38" t="n">
        <x:f>IF(AND(AJ$5&gt;=$D41,AJ$5&lt;=$E41),1,0)</x:f>
        <x:v>0</x:v>
      </x:c>
      <x:c r="AK41" s="38" t="n">
        <x:f>IF(AND(AK$5&gt;=$D41,AK$5&lt;=$E41),1,0)</x:f>
        <x:v>0</x:v>
      </x:c>
      <x:c r="AL41" s="38" t="n">
        <x:f>IF(AND(AL$5&gt;=$D41,AL$5&lt;=$E41),1,0)</x:f>
        <x:v>0</x:v>
      </x:c>
      <x:c r="AM41" s="38" t="n">
        <x:f>IF(AND(AM$5&gt;=$D41,AM$5&lt;=$E41),1,0)</x:f>
        <x:v>0</x:v>
      </x:c>
      <x:c r="AN41" s="38" t="n">
        <x:f>IF(AND(AN$5&gt;=$D41,AN$5&lt;=$E41),1,0)</x:f>
        <x:v>0</x:v>
      </x:c>
      <x:c r="AO41" s="38" t="n">
        <x:f>IF(AND(AO$5&gt;=$D41,AO$5&lt;=$E41),1,0)</x:f>
        <x:v>0</x:v>
      </x:c>
      <x:c r="AP41" s="38" t="n">
        <x:f>IF(AND(AP$5&gt;=$D41,AP$5&lt;=$E41),1,0)</x:f>
        <x:v>0</x:v>
      </x:c>
      <x:c r="AQ41" s="38" t="n">
        <x:f>IF(AND(AQ$5&gt;=$D41,AQ$5&lt;=$E41),1,0)</x:f>
        <x:v>0</x:v>
      </x:c>
    </x:row>
    <x:row r="42" ht="38" customHeight="1">
      <x:c r="A42" s="10" t="str">
        <x:v>E05</x:v>
      </x:c>
      <x:c r="B42" s="10" t="str">
        <x:v>Add reranker and evidence packaging</x:v>
      </x:c>
      <x:c r="C42" s="10" t="str">
        <x:v>AI</x:v>
      </x:c>
      <x:c r="D42" s="10" t="n">
        <x:f>ROUNDUP('Tasks'!K42/5,0)</x:f>
        <x:v>11</x:v>
      </x:c>
      <x:c r="E42" s="10" t="n">
        <x:f>ROUNDUP('Tasks'!L42/5,0)</x:f>
        <x:v>11</x:v>
      </x:c>
      <x:c r="F42" s="10" t="str">
        <x:f>'Tasks'!R42</x:f>
        <x:v>Not started</x:v>
      </x:c>
      <x:c r="G42" s="35" t="n">
        <x:f>'Tasks'!S42</x:f>
        <x:v>0</x:v>
      </x:c>
      <x:c r="H42" s="36" t="n">
        <x:f>IF(AND(H$5&gt;=$D42,H$5&lt;=$E42),1,0)</x:f>
        <x:v>0</x:v>
      </x:c>
      <x:c r="I42" s="36" t="n">
        <x:f>IF(AND(I$5&gt;=$D42,I$5&lt;=$E42),1,0)</x:f>
        <x:v>0</x:v>
      </x:c>
      <x:c r="J42" s="36" t="n">
        <x:f>IF(AND(J$5&gt;=$D42,J$5&lt;=$E42),1,0)</x:f>
        <x:v>0</x:v>
      </x:c>
      <x:c r="K42" s="36" t="n">
        <x:f>IF(AND(K$5&gt;=$D42,K$5&lt;=$E42),1,0)</x:f>
        <x:v>0</x:v>
      </x:c>
      <x:c r="L42" s="36" t="n">
        <x:f>IF(AND(L$5&gt;=$D42,L$5&lt;=$E42),1,0)</x:f>
        <x:v>0</x:v>
      </x:c>
      <x:c r="M42" s="36" t="n">
        <x:f>IF(AND(M$5&gt;=$D42,M$5&lt;=$E42),1,0)</x:f>
        <x:v>0</x:v>
      </x:c>
      <x:c r="N42" s="36" t="n">
        <x:f>IF(AND(N$5&gt;=$D42,N$5&lt;=$E42),1,0)</x:f>
        <x:v>0</x:v>
      </x:c>
      <x:c r="O42" s="36" t="n">
        <x:f>IF(AND(O$5&gt;=$D42,O$5&lt;=$E42),1,0)</x:f>
        <x:v>0</x:v>
      </x:c>
      <x:c r="P42" s="36" t="n">
        <x:f>IF(AND(P$5&gt;=$D42,P$5&lt;=$E42),1,0)</x:f>
        <x:v>0</x:v>
      </x:c>
      <x:c r="Q42" s="36" t="n">
        <x:f>IF(AND(Q$5&gt;=$D42,Q$5&lt;=$E42),1,0)</x:f>
        <x:v>0</x:v>
      </x:c>
      <x:c r="R42" s="36" t="n">
        <x:f>IF(AND(R$5&gt;=$D42,R$5&lt;=$E42),1,0)</x:f>
        <x:v>1</x:v>
      </x:c>
      <x:c r="S42" s="36" t="n">
        <x:f>IF(AND(S$5&gt;=$D42,S$5&lt;=$E42),1,0)</x:f>
        <x:v>0</x:v>
      </x:c>
      <x:c r="T42" s="36" t="n">
        <x:f>IF(AND(T$5&gt;=$D42,T$5&lt;=$E42),1,0)</x:f>
        <x:v>0</x:v>
      </x:c>
      <x:c r="U42" s="36" t="n">
        <x:f>IF(AND(U$5&gt;=$D42,U$5&lt;=$E42),1,0)</x:f>
        <x:v>0</x:v>
      </x:c>
      <x:c r="V42" s="36" t="n">
        <x:f>IF(AND(V$5&gt;=$D42,V$5&lt;=$E42),1,0)</x:f>
        <x:v>0</x:v>
      </x:c>
      <x:c r="W42" s="36" t="n">
        <x:f>IF(AND(W$5&gt;=$D42,W$5&lt;=$E42),1,0)</x:f>
        <x:v>0</x:v>
      </x:c>
      <x:c r="X42" s="36" t="n">
        <x:f>IF(AND(X$5&gt;=$D42,X$5&lt;=$E42),1,0)</x:f>
        <x:v>0</x:v>
      </x:c>
      <x:c r="Y42" s="36" t="n">
        <x:f>IF(AND(Y$5&gt;=$D42,Y$5&lt;=$E42),1,0)</x:f>
        <x:v>0</x:v>
      </x:c>
      <x:c r="Z42" s="36" t="n">
        <x:f>IF(AND(Z$5&gt;=$D42,Z$5&lt;=$E42),1,0)</x:f>
        <x:v>0</x:v>
      </x:c>
      <x:c r="AA42" s="36" t="n">
        <x:f>IF(AND(AA$5&gt;=$D42,AA$5&lt;=$E42),1,0)</x:f>
        <x:v>0</x:v>
      </x:c>
      <x:c r="AB42" s="36" t="n">
        <x:f>IF(AND(AB$5&gt;=$D42,AB$5&lt;=$E42),1,0)</x:f>
        <x:v>0</x:v>
      </x:c>
      <x:c r="AC42" s="36" t="n">
        <x:f>IF(AND(AC$5&gt;=$D42,AC$5&lt;=$E42),1,0)</x:f>
        <x:v>0</x:v>
      </x:c>
      <x:c r="AD42" s="36" t="n">
        <x:f>IF(AND(AD$5&gt;=$D42,AD$5&lt;=$E42),1,0)</x:f>
        <x:v>0</x:v>
      </x:c>
      <x:c r="AE42" s="36" t="n">
        <x:f>IF(AND(AE$5&gt;=$D42,AE$5&lt;=$E42),1,0)</x:f>
        <x:v>0</x:v>
      </x:c>
      <x:c r="AF42" s="36" t="n">
        <x:f>IF(AND(AF$5&gt;=$D42,AF$5&lt;=$E42),1,0)</x:f>
        <x:v>0</x:v>
      </x:c>
      <x:c r="AG42" s="36" t="n">
        <x:f>IF(AND(AG$5&gt;=$D42,AG$5&lt;=$E42),1,0)</x:f>
        <x:v>0</x:v>
      </x:c>
      <x:c r="AH42" s="36" t="n">
        <x:f>IF(AND(AH$5&gt;=$D42,AH$5&lt;=$E42),1,0)</x:f>
        <x:v>0</x:v>
      </x:c>
      <x:c r="AI42" s="36" t="n">
        <x:f>IF(AND(AI$5&gt;=$D42,AI$5&lt;=$E42),1,0)</x:f>
        <x:v>0</x:v>
      </x:c>
      <x:c r="AJ42" s="36" t="n">
        <x:f>IF(AND(AJ$5&gt;=$D42,AJ$5&lt;=$E42),1,0)</x:f>
        <x:v>0</x:v>
      </x:c>
      <x:c r="AK42" s="36" t="n">
        <x:f>IF(AND(AK$5&gt;=$D42,AK$5&lt;=$E42),1,0)</x:f>
        <x:v>0</x:v>
      </x:c>
      <x:c r="AL42" s="36" t="n">
        <x:f>IF(AND(AL$5&gt;=$D42,AL$5&lt;=$E42),1,0)</x:f>
        <x:v>0</x:v>
      </x:c>
      <x:c r="AM42" s="36" t="n">
        <x:f>IF(AND(AM$5&gt;=$D42,AM$5&lt;=$E42),1,0)</x:f>
        <x:v>0</x:v>
      </x:c>
      <x:c r="AN42" s="36" t="n">
        <x:f>IF(AND(AN$5&gt;=$D42,AN$5&lt;=$E42),1,0)</x:f>
        <x:v>0</x:v>
      </x:c>
      <x:c r="AO42" s="36" t="n">
        <x:f>IF(AND(AO$5&gt;=$D42,AO$5&lt;=$E42),1,0)</x:f>
        <x:v>0</x:v>
      </x:c>
      <x:c r="AP42" s="36" t="n">
        <x:f>IF(AND(AP$5&gt;=$D42,AP$5&lt;=$E42),1,0)</x:f>
        <x:v>0</x:v>
      </x:c>
      <x:c r="AQ42" s="36" t="n">
        <x:f>IF(AND(AQ$5&gt;=$D42,AQ$5&lt;=$E42),1,0)</x:f>
        <x:v>0</x:v>
      </x:c>
    </x:row>
    <x:row r="43" ht="38" customHeight="1">
      <x:c r="A43" s="9" t="str">
        <x:v>E06</x:v>
      </x:c>
      <x:c r="B43" s="9" t="str">
        <x:v>Test revocation and index versioning</x:v>
      </x:c>
      <x:c r="C43" s="9" t="str">
        <x:v>OPS</x:v>
      </x:c>
      <x:c r="D43" s="9" t="n">
        <x:f>ROUNDUP('Tasks'!K43/5,0)</x:f>
        <x:v>11</x:v>
      </x:c>
      <x:c r="E43" s="9" t="n">
        <x:f>ROUNDUP('Tasks'!L43/5,0)</x:f>
        <x:v>12</x:v>
      </x:c>
      <x:c r="F43" s="9" t="str">
        <x:f>'Tasks'!R43</x:f>
        <x:v>Not started</x:v>
      </x:c>
      <x:c r="G43" s="37" t="n">
        <x:f>'Tasks'!S43</x:f>
        <x:v>0</x:v>
      </x:c>
      <x:c r="H43" s="38" t="n">
        <x:f>IF(AND(H$5&gt;=$D43,H$5&lt;=$E43),1,0)</x:f>
        <x:v>0</x:v>
      </x:c>
      <x:c r="I43" s="38" t="n">
        <x:f>IF(AND(I$5&gt;=$D43,I$5&lt;=$E43),1,0)</x:f>
        <x:v>0</x:v>
      </x:c>
      <x:c r="J43" s="38" t="n">
        <x:f>IF(AND(J$5&gt;=$D43,J$5&lt;=$E43),1,0)</x:f>
        <x:v>0</x:v>
      </x:c>
      <x:c r="K43" s="38" t="n">
        <x:f>IF(AND(K$5&gt;=$D43,K$5&lt;=$E43),1,0)</x:f>
        <x:v>0</x:v>
      </x:c>
      <x:c r="L43" s="38" t="n">
        <x:f>IF(AND(L$5&gt;=$D43,L$5&lt;=$E43),1,0)</x:f>
        <x:v>0</x:v>
      </x:c>
      <x:c r="M43" s="38" t="n">
        <x:f>IF(AND(M$5&gt;=$D43,M$5&lt;=$E43),1,0)</x:f>
        <x:v>0</x:v>
      </x:c>
      <x:c r="N43" s="38" t="n">
        <x:f>IF(AND(N$5&gt;=$D43,N$5&lt;=$E43),1,0)</x:f>
        <x:v>0</x:v>
      </x:c>
      <x:c r="O43" s="38" t="n">
        <x:f>IF(AND(O$5&gt;=$D43,O$5&lt;=$E43),1,0)</x:f>
        <x:v>0</x:v>
      </x:c>
      <x:c r="P43" s="38" t="n">
        <x:f>IF(AND(P$5&gt;=$D43,P$5&lt;=$E43),1,0)</x:f>
        <x:v>0</x:v>
      </x:c>
      <x:c r="Q43" s="38" t="n">
        <x:f>IF(AND(Q$5&gt;=$D43,Q$5&lt;=$E43),1,0)</x:f>
        <x:v>0</x:v>
      </x:c>
      <x:c r="R43" s="38" t="n">
        <x:f>IF(AND(R$5&gt;=$D43,R$5&lt;=$E43),1,0)</x:f>
        <x:v>1</x:v>
      </x:c>
      <x:c r="S43" s="38" t="n">
        <x:f>IF(AND(S$5&gt;=$D43,S$5&lt;=$E43),1,0)</x:f>
        <x:v>1</x:v>
      </x:c>
      <x:c r="T43" s="38" t="n">
        <x:f>IF(AND(T$5&gt;=$D43,T$5&lt;=$E43),1,0)</x:f>
        <x:v>0</x:v>
      </x:c>
      <x:c r="U43" s="38" t="n">
        <x:f>IF(AND(U$5&gt;=$D43,U$5&lt;=$E43),1,0)</x:f>
        <x:v>0</x:v>
      </x:c>
      <x:c r="V43" s="38" t="n">
        <x:f>IF(AND(V$5&gt;=$D43,V$5&lt;=$E43),1,0)</x:f>
        <x:v>0</x:v>
      </x:c>
      <x:c r="W43" s="38" t="n">
        <x:f>IF(AND(W$5&gt;=$D43,W$5&lt;=$E43),1,0)</x:f>
        <x:v>0</x:v>
      </x:c>
      <x:c r="X43" s="38" t="n">
        <x:f>IF(AND(X$5&gt;=$D43,X$5&lt;=$E43),1,0)</x:f>
        <x:v>0</x:v>
      </x:c>
      <x:c r="Y43" s="38" t="n">
        <x:f>IF(AND(Y$5&gt;=$D43,Y$5&lt;=$E43),1,0)</x:f>
        <x:v>0</x:v>
      </x:c>
      <x:c r="Z43" s="38" t="n">
        <x:f>IF(AND(Z$5&gt;=$D43,Z$5&lt;=$E43),1,0)</x:f>
        <x:v>0</x:v>
      </x:c>
      <x:c r="AA43" s="38" t="n">
        <x:f>IF(AND(AA$5&gt;=$D43,AA$5&lt;=$E43),1,0)</x:f>
        <x:v>0</x:v>
      </x:c>
      <x:c r="AB43" s="38" t="n">
        <x:f>IF(AND(AB$5&gt;=$D43,AB$5&lt;=$E43),1,0)</x:f>
        <x:v>0</x:v>
      </x:c>
      <x:c r="AC43" s="38" t="n">
        <x:f>IF(AND(AC$5&gt;=$D43,AC$5&lt;=$E43),1,0)</x:f>
        <x:v>0</x:v>
      </x:c>
      <x:c r="AD43" s="38" t="n">
        <x:f>IF(AND(AD$5&gt;=$D43,AD$5&lt;=$E43),1,0)</x:f>
        <x:v>0</x:v>
      </x:c>
      <x:c r="AE43" s="38" t="n">
        <x:f>IF(AND(AE$5&gt;=$D43,AE$5&lt;=$E43),1,0)</x:f>
        <x:v>0</x:v>
      </x:c>
      <x:c r="AF43" s="38" t="n">
        <x:f>IF(AND(AF$5&gt;=$D43,AF$5&lt;=$E43),1,0)</x:f>
        <x:v>0</x:v>
      </x:c>
      <x:c r="AG43" s="38" t="n">
        <x:f>IF(AND(AG$5&gt;=$D43,AG$5&lt;=$E43),1,0)</x:f>
        <x:v>0</x:v>
      </x:c>
      <x:c r="AH43" s="38" t="n">
        <x:f>IF(AND(AH$5&gt;=$D43,AH$5&lt;=$E43),1,0)</x:f>
        <x:v>0</x:v>
      </x:c>
      <x:c r="AI43" s="38" t="n">
        <x:f>IF(AND(AI$5&gt;=$D43,AI$5&lt;=$E43),1,0)</x:f>
        <x:v>0</x:v>
      </x:c>
      <x:c r="AJ43" s="38" t="n">
        <x:f>IF(AND(AJ$5&gt;=$D43,AJ$5&lt;=$E43),1,0)</x:f>
        <x:v>0</x:v>
      </x:c>
      <x:c r="AK43" s="38" t="n">
        <x:f>IF(AND(AK$5&gt;=$D43,AK$5&lt;=$E43),1,0)</x:f>
        <x:v>0</x:v>
      </x:c>
      <x:c r="AL43" s="38" t="n">
        <x:f>IF(AND(AL$5&gt;=$D43,AL$5&lt;=$E43),1,0)</x:f>
        <x:v>0</x:v>
      </x:c>
      <x:c r="AM43" s="38" t="n">
        <x:f>IF(AND(AM$5&gt;=$D43,AM$5&lt;=$E43),1,0)</x:f>
        <x:v>0</x:v>
      </x:c>
      <x:c r="AN43" s="38" t="n">
        <x:f>IF(AND(AN$5&gt;=$D43,AN$5&lt;=$E43),1,0)</x:f>
        <x:v>0</x:v>
      </x:c>
      <x:c r="AO43" s="38" t="n">
        <x:f>IF(AND(AO$5&gt;=$D43,AO$5&lt;=$E43),1,0)</x:f>
        <x:v>0</x:v>
      </x:c>
      <x:c r="AP43" s="38" t="n">
        <x:f>IF(AND(AP$5&gt;=$D43,AP$5&lt;=$E43),1,0)</x:f>
        <x:v>0</x:v>
      </x:c>
      <x:c r="AQ43" s="38" t="n">
        <x:f>IF(AND(AQ$5&gt;=$D43,AQ$5&lt;=$E43),1,0)</x:f>
        <x:v>0</x:v>
      </x:c>
    </x:row>
    <x:row r="44" ht="38" customHeight="1">
      <x:c r="A44" s="10" t="str">
        <x:v>F01</x:v>
      </x:c>
      <x:c r="B44" s="10" t="str">
        <x:v>Compare text OCR and native vision</x:v>
      </x:c>
      <x:c r="C44" s="10" t="str">
        <x:v>TD</x:v>
      </x:c>
      <x:c r="D44" s="10" t="n">
        <x:f>ROUNDUP('Tasks'!K44/5,0)</x:f>
        <x:v>10</x:v>
      </x:c>
      <x:c r="E44" s="10" t="n">
        <x:f>ROUNDUP('Tasks'!L44/5,0)</x:f>
        <x:v>11</x:v>
      </x:c>
      <x:c r="F44" s="10" t="str">
        <x:f>'Tasks'!R44</x:f>
        <x:v>Not started</x:v>
      </x:c>
      <x:c r="G44" s="35" t="n">
        <x:f>'Tasks'!S44</x:f>
        <x:v>0</x:v>
      </x:c>
      <x:c r="H44" s="36" t="n">
        <x:f>IF(AND(H$5&gt;=$D44,H$5&lt;=$E44),1,0)</x:f>
        <x:v>0</x:v>
      </x:c>
      <x:c r="I44" s="36" t="n">
        <x:f>IF(AND(I$5&gt;=$D44,I$5&lt;=$E44),1,0)</x:f>
        <x:v>0</x:v>
      </x:c>
      <x:c r="J44" s="36" t="n">
        <x:f>IF(AND(J$5&gt;=$D44,J$5&lt;=$E44),1,0)</x:f>
        <x:v>0</x:v>
      </x:c>
      <x:c r="K44" s="36" t="n">
        <x:f>IF(AND(K$5&gt;=$D44,K$5&lt;=$E44),1,0)</x:f>
        <x:v>0</x:v>
      </x:c>
      <x:c r="L44" s="36" t="n">
        <x:f>IF(AND(L$5&gt;=$D44,L$5&lt;=$E44),1,0)</x:f>
        <x:v>0</x:v>
      </x:c>
      <x:c r="M44" s="36" t="n">
        <x:f>IF(AND(M$5&gt;=$D44,M$5&lt;=$E44),1,0)</x:f>
        <x:v>0</x:v>
      </x:c>
      <x:c r="N44" s="36" t="n">
        <x:f>IF(AND(N$5&gt;=$D44,N$5&lt;=$E44),1,0)</x:f>
        <x:v>0</x:v>
      </x:c>
      <x:c r="O44" s="36" t="n">
        <x:f>IF(AND(O$5&gt;=$D44,O$5&lt;=$E44),1,0)</x:f>
        <x:v>0</x:v>
      </x:c>
      <x:c r="P44" s="36" t="n">
        <x:f>IF(AND(P$5&gt;=$D44,P$5&lt;=$E44),1,0)</x:f>
        <x:v>0</x:v>
      </x:c>
      <x:c r="Q44" s="36" t="n">
        <x:f>IF(AND(Q$5&gt;=$D44,Q$5&lt;=$E44),1,0)</x:f>
        <x:v>1</x:v>
      </x:c>
      <x:c r="R44" s="36" t="n">
        <x:f>IF(AND(R$5&gt;=$D44,R$5&lt;=$E44),1,0)</x:f>
        <x:v>1</x:v>
      </x:c>
      <x:c r="S44" s="36" t="n">
        <x:f>IF(AND(S$5&gt;=$D44,S$5&lt;=$E44),1,0)</x:f>
        <x:v>0</x:v>
      </x:c>
      <x:c r="T44" s="36" t="n">
        <x:f>IF(AND(T$5&gt;=$D44,T$5&lt;=$E44),1,0)</x:f>
        <x:v>0</x:v>
      </x:c>
      <x:c r="U44" s="36" t="n">
        <x:f>IF(AND(U$5&gt;=$D44,U$5&lt;=$E44),1,0)</x:f>
        <x:v>0</x:v>
      </x:c>
      <x:c r="V44" s="36" t="n">
        <x:f>IF(AND(V$5&gt;=$D44,V$5&lt;=$E44),1,0)</x:f>
        <x:v>0</x:v>
      </x:c>
      <x:c r="W44" s="36" t="n">
        <x:f>IF(AND(W$5&gt;=$D44,W$5&lt;=$E44),1,0)</x:f>
        <x:v>0</x:v>
      </x:c>
      <x:c r="X44" s="36" t="n">
        <x:f>IF(AND(X$5&gt;=$D44,X$5&lt;=$E44),1,0)</x:f>
        <x:v>0</x:v>
      </x:c>
      <x:c r="Y44" s="36" t="n">
        <x:f>IF(AND(Y$5&gt;=$D44,Y$5&lt;=$E44),1,0)</x:f>
        <x:v>0</x:v>
      </x:c>
      <x:c r="Z44" s="36" t="n">
        <x:f>IF(AND(Z$5&gt;=$D44,Z$5&lt;=$E44),1,0)</x:f>
        <x:v>0</x:v>
      </x:c>
      <x:c r="AA44" s="36" t="n">
        <x:f>IF(AND(AA$5&gt;=$D44,AA$5&lt;=$E44),1,0)</x:f>
        <x:v>0</x:v>
      </x:c>
      <x:c r="AB44" s="36" t="n">
        <x:f>IF(AND(AB$5&gt;=$D44,AB$5&lt;=$E44),1,0)</x:f>
        <x:v>0</x:v>
      </x:c>
      <x:c r="AC44" s="36" t="n">
        <x:f>IF(AND(AC$5&gt;=$D44,AC$5&lt;=$E44),1,0)</x:f>
        <x:v>0</x:v>
      </x:c>
      <x:c r="AD44" s="36" t="n">
        <x:f>IF(AND(AD$5&gt;=$D44,AD$5&lt;=$E44),1,0)</x:f>
        <x:v>0</x:v>
      </x:c>
      <x:c r="AE44" s="36" t="n">
        <x:f>IF(AND(AE$5&gt;=$D44,AE$5&lt;=$E44),1,0)</x:f>
        <x:v>0</x:v>
      </x:c>
      <x:c r="AF44" s="36" t="n">
        <x:f>IF(AND(AF$5&gt;=$D44,AF$5&lt;=$E44),1,0)</x:f>
        <x:v>0</x:v>
      </x:c>
      <x:c r="AG44" s="36" t="n">
        <x:f>IF(AND(AG$5&gt;=$D44,AG$5&lt;=$E44),1,0)</x:f>
        <x:v>0</x:v>
      </x:c>
      <x:c r="AH44" s="36" t="n">
        <x:f>IF(AND(AH$5&gt;=$D44,AH$5&lt;=$E44),1,0)</x:f>
        <x:v>0</x:v>
      </x:c>
      <x:c r="AI44" s="36" t="n">
        <x:f>IF(AND(AI$5&gt;=$D44,AI$5&lt;=$E44),1,0)</x:f>
        <x:v>0</x:v>
      </x:c>
      <x:c r="AJ44" s="36" t="n">
        <x:f>IF(AND(AJ$5&gt;=$D44,AJ$5&lt;=$E44),1,0)</x:f>
        <x:v>0</x:v>
      </x:c>
      <x:c r="AK44" s="36" t="n">
        <x:f>IF(AND(AK$5&gt;=$D44,AK$5&lt;=$E44),1,0)</x:f>
        <x:v>0</x:v>
      </x:c>
      <x:c r="AL44" s="36" t="n">
        <x:f>IF(AND(AL$5&gt;=$D44,AL$5&lt;=$E44),1,0)</x:f>
        <x:v>0</x:v>
      </x:c>
      <x:c r="AM44" s="36" t="n">
        <x:f>IF(AND(AM$5&gt;=$D44,AM$5&lt;=$E44),1,0)</x:f>
        <x:v>0</x:v>
      </x:c>
      <x:c r="AN44" s="36" t="n">
        <x:f>IF(AND(AN$5&gt;=$D44,AN$5&lt;=$E44),1,0)</x:f>
        <x:v>0</x:v>
      </x:c>
      <x:c r="AO44" s="36" t="n">
        <x:f>IF(AND(AO$5&gt;=$D44,AO$5&lt;=$E44),1,0)</x:f>
        <x:v>0</x:v>
      </x:c>
      <x:c r="AP44" s="36" t="n">
        <x:f>IF(AND(AP$5&gt;=$D44,AP$5&lt;=$E44),1,0)</x:f>
        <x:v>0</x:v>
      </x:c>
      <x:c r="AQ44" s="36" t="n">
        <x:f>IF(AND(AQ$5&gt;=$D44,AQ$5&lt;=$E44),1,0)</x:f>
        <x:v>0</x:v>
      </x:c>
    </x:row>
    <x:row r="45" ht="38" customHeight="1">
      <x:c r="A45" s="9" t="str">
        <x:v>F02</x:v>
      </x:c>
      <x:c r="B45" s="9" t="str">
        <x:v>Decide model and visual scope</x:v>
      </x:c>
      <x:c r="C45" s="9" t="str">
        <x:v>HP</x:v>
      </x:c>
      <x:c r="D45" s="9" t="n">
        <x:f>ROUNDUP('Tasks'!K45/5,0)</x:f>
        <x:v>12</x:v>
      </x:c>
      <x:c r="E45" s="9" t="n">
        <x:f>ROUNDUP('Tasks'!L45/5,0)</x:f>
        <x:v>12</x:v>
      </x:c>
      <x:c r="F45" s="9" t="str">
        <x:f>'Tasks'!R45</x:f>
        <x:v>Not started</x:v>
      </x:c>
      <x:c r="G45" s="37" t="n">
        <x:f>'Tasks'!S45</x:f>
        <x:v>0</x:v>
      </x:c>
      <x:c r="H45" s="38" t="n">
        <x:f>IF(AND(H$5&gt;=$D45,H$5&lt;=$E45),1,0)</x:f>
        <x:v>0</x:v>
      </x:c>
      <x:c r="I45" s="38" t="n">
        <x:f>IF(AND(I$5&gt;=$D45,I$5&lt;=$E45),1,0)</x:f>
        <x:v>0</x:v>
      </x:c>
      <x:c r="J45" s="38" t="n">
        <x:f>IF(AND(J$5&gt;=$D45,J$5&lt;=$E45),1,0)</x:f>
        <x:v>0</x:v>
      </x:c>
      <x:c r="K45" s="38" t="n">
        <x:f>IF(AND(K$5&gt;=$D45,K$5&lt;=$E45),1,0)</x:f>
        <x:v>0</x:v>
      </x:c>
      <x:c r="L45" s="38" t="n">
        <x:f>IF(AND(L$5&gt;=$D45,L$5&lt;=$E45),1,0)</x:f>
        <x:v>0</x:v>
      </x:c>
      <x:c r="M45" s="38" t="n">
        <x:f>IF(AND(M$5&gt;=$D45,M$5&lt;=$E45),1,0)</x:f>
        <x:v>0</x:v>
      </x:c>
      <x:c r="N45" s="38" t="n">
        <x:f>IF(AND(N$5&gt;=$D45,N$5&lt;=$E45),1,0)</x:f>
        <x:v>0</x:v>
      </x:c>
      <x:c r="O45" s="38" t="n">
        <x:f>IF(AND(O$5&gt;=$D45,O$5&lt;=$E45),1,0)</x:f>
        <x:v>0</x:v>
      </x:c>
      <x:c r="P45" s="38" t="n">
        <x:f>IF(AND(P$5&gt;=$D45,P$5&lt;=$E45),1,0)</x:f>
        <x:v>0</x:v>
      </x:c>
      <x:c r="Q45" s="38" t="n">
        <x:f>IF(AND(Q$5&gt;=$D45,Q$5&lt;=$E45),1,0)</x:f>
        <x:v>0</x:v>
      </x:c>
      <x:c r="R45" s="38" t="n">
        <x:f>IF(AND(R$5&gt;=$D45,R$5&lt;=$E45),1,0)</x:f>
        <x:v>0</x:v>
      </x:c>
      <x:c r="S45" s="38" t="n">
        <x:f>IF(AND(S$5&gt;=$D45,S$5&lt;=$E45),1,0)</x:f>
        <x:v>1</x:v>
      </x:c>
      <x:c r="T45" s="38" t="n">
        <x:f>IF(AND(T$5&gt;=$D45,T$5&lt;=$E45),1,0)</x:f>
        <x:v>0</x:v>
      </x:c>
      <x:c r="U45" s="38" t="n">
        <x:f>IF(AND(U$5&gt;=$D45,U$5&lt;=$E45),1,0)</x:f>
        <x:v>0</x:v>
      </x:c>
      <x:c r="V45" s="38" t="n">
        <x:f>IF(AND(V$5&gt;=$D45,V$5&lt;=$E45),1,0)</x:f>
        <x:v>0</x:v>
      </x:c>
      <x:c r="W45" s="38" t="n">
        <x:f>IF(AND(W$5&gt;=$D45,W$5&lt;=$E45),1,0)</x:f>
        <x:v>0</x:v>
      </x:c>
      <x:c r="X45" s="38" t="n">
        <x:f>IF(AND(X$5&gt;=$D45,X$5&lt;=$E45),1,0)</x:f>
        <x:v>0</x:v>
      </x:c>
      <x:c r="Y45" s="38" t="n">
        <x:f>IF(AND(Y$5&gt;=$D45,Y$5&lt;=$E45),1,0)</x:f>
        <x:v>0</x:v>
      </x:c>
      <x:c r="Z45" s="38" t="n">
        <x:f>IF(AND(Z$5&gt;=$D45,Z$5&lt;=$E45),1,0)</x:f>
        <x:v>0</x:v>
      </x:c>
      <x:c r="AA45" s="38" t="n">
        <x:f>IF(AND(AA$5&gt;=$D45,AA$5&lt;=$E45),1,0)</x:f>
        <x:v>0</x:v>
      </x:c>
      <x:c r="AB45" s="38" t="n">
        <x:f>IF(AND(AB$5&gt;=$D45,AB$5&lt;=$E45),1,0)</x:f>
        <x:v>0</x:v>
      </x:c>
      <x:c r="AC45" s="38" t="n">
        <x:f>IF(AND(AC$5&gt;=$D45,AC$5&lt;=$E45),1,0)</x:f>
        <x:v>0</x:v>
      </x:c>
      <x:c r="AD45" s="38" t="n">
        <x:f>IF(AND(AD$5&gt;=$D45,AD$5&lt;=$E45),1,0)</x:f>
        <x:v>0</x:v>
      </x:c>
      <x:c r="AE45" s="38" t="n">
        <x:f>IF(AND(AE$5&gt;=$D45,AE$5&lt;=$E45),1,0)</x:f>
        <x:v>0</x:v>
      </x:c>
      <x:c r="AF45" s="38" t="n">
        <x:f>IF(AND(AF$5&gt;=$D45,AF$5&lt;=$E45),1,0)</x:f>
        <x:v>0</x:v>
      </x:c>
      <x:c r="AG45" s="38" t="n">
        <x:f>IF(AND(AG$5&gt;=$D45,AG$5&lt;=$E45),1,0)</x:f>
        <x:v>0</x:v>
      </x:c>
      <x:c r="AH45" s="38" t="n">
        <x:f>IF(AND(AH$5&gt;=$D45,AH$5&lt;=$E45),1,0)</x:f>
        <x:v>0</x:v>
      </x:c>
      <x:c r="AI45" s="38" t="n">
        <x:f>IF(AND(AI$5&gt;=$D45,AI$5&lt;=$E45),1,0)</x:f>
        <x:v>0</x:v>
      </x:c>
      <x:c r="AJ45" s="38" t="n">
        <x:f>IF(AND(AJ$5&gt;=$D45,AJ$5&lt;=$E45),1,0)</x:f>
        <x:v>0</x:v>
      </x:c>
      <x:c r="AK45" s="38" t="n">
        <x:f>IF(AND(AK$5&gt;=$D45,AK$5&lt;=$E45),1,0)</x:f>
        <x:v>0</x:v>
      </x:c>
      <x:c r="AL45" s="38" t="n">
        <x:f>IF(AND(AL$5&gt;=$D45,AL$5&lt;=$E45),1,0)</x:f>
        <x:v>0</x:v>
      </x:c>
      <x:c r="AM45" s="38" t="n">
        <x:f>IF(AND(AM$5&gt;=$D45,AM$5&lt;=$E45),1,0)</x:f>
        <x:v>0</x:v>
      </x:c>
      <x:c r="AN45" s="38" t="n">
        <x:f>IF(AND(AN$5&gt;=$D45,AN$5&lt;=$E45),1,0)</x:f>
        <x:v>0</x:v>
      </x:c>
      <x:c r="AO45" s="38" t="n">
        <x:f>IF(AND(AO$5&gt;=$D45,AO$5&lt;=$E45),1,0)</x:f>
        <x:v>0</x:v>
      </x:c>
      <x:c r="AP45" s="38" t="n">
        <x:f>IF(AND(AP$5&gt;=$D45,AP$5&lt;=$E45),1,0)</x:f>
        <x:v>0</x:v>
      </x:c>
      <x:c r="AQ45" s="38" t="n">
        <x:f>IF(AND(AQ$5&gt;=$D45,AQ$5&lt;=$E45),1,0)</x:f>
        <x:v>0</x:v>
      </x:c>
    </x:row>
    <x:row r="46" ht="38" customHeight="1">
      <x:c r="A46" s="10" t="str">
        <x:v>G2</x:v>
      </x:c>
      <x:c r="B46" s="10" t="str">
        <x:v>G2 authorize adaptation tranche</x:v>
      </x:c>
      <x:c r="C46" s="10" t="str">
        <x:v>MD</x:v>
      </x:c>
      <x:c r="D46" s="10" t="n">
        <x:f>ROUNDUP('Tasks'!K46/5,0)</x:f>
        <x:v>12</x:v>
      </x:c>
      <x:c r="E46" s="10" t="n">
        <x:f>ROUNDUP('Tasks'!L46/5,0)</x:f>
        <x:v>12</x:v>
      </x:c>
      <x:c r="F46" s="10" t="str">
        <x:f>'Tasks'!R46</x:f>
        <x:v>Not started</x:v>
      </x:c>
      <x:c r="G46" s="35" t="n">
        <x:f>'Tasks'!S46</x:f>
        <x:v>0</x:v>
      </x:c>
      <x:c r="H46" s="36" t="n">
        <x:f>IF(AND(H$5&gt;=$D46,H$5&lt;=$E46),1,0)</x:f>
        <x:v>0</x:v>
      </x:c>
      <x:c r="I46" s="36" t="n">
        <x:f>IF(AND(I$5&gt;=$D46,I$5&lt;=$E46),1,0)</x:f>
        <x:v>0</x:v>
      </x:c>
      <x:c r="J46" s="36" t="n">
        <x:f>IF(AND(J$5&gt;=$D46,J$5&lt;=$E46),1,0)</x:f>
        <x:v>0</x:v>
      </x:c>
      <x:c r="K46" s="36" t="n">
        <x:f>IF(AND(K$5&gt;=$D46,K$5&lt;=$E46),1,0)</x:f>
        <x:v>0</x:v>
      </x:c>
      <x:c r="L46" s="36" t="n">
        <x:f>IF(AND(L$5&gt;=$D46,L$5&lt;=$E46),1,0)</x:f>
        <x:v>0</x:v>
      </x:c>
      <x:c r="M46" s="36" t="n">
        <x:f>IF(AND(M$5&gt;=$D46,M$5&lt;=$E46),1,0)</x:f>
        <x:v>0</x:v>
      </x:c>
      <x:c r="N46" s="36" t="n">
        <x:f>IF(AND(N$5&gt;=$D46,N$5&lt;=$E46),1,0)</x:f>
        <x:v>0</x:v>
      </x:c>
      <x:c r="O46" s="36" t="n">
        <x:f>IF(AND(O$5&gt;=$D46,O$5&lt;=$E46),1,0)</x:f>
        <x:v>0</x:v>
      </x:c>
      <x:c r="P46" s="36" t="n">
        <x:f>IF(AND(P$5&gt;=$D46,P$5&lt;=$E46),1,0)</x:f>
        <x:v>0</x:v>
      </x:c>
      <x:c r="Q46" s="36" t="n">
        <x:f>IF(AND(Q$5&gt;=$D46,Q$5&lt;=$E46),1,0)</x:f>
        <x:v>0</x:v>
      </x:c>
      <x:c r="R46" s="36" t="n">
        <x:f>IF(AND(R$5&gt;=$D46,R$5&lt;=$E46),1,0)</x:f>
        <x:v>0</x:v>
      </x:c>
      <x:c r="S46" s="36" t="n">
        <x:f>IF(AND(S$5&gt;=$D46,S$5&lt;=$E46),1,0)</x:f>
        <x:v>1</x:v>
      </x:c>
      <x:c r="T46" s="36" t="n">
        <x:f>IF(AND(T$5&gt;=$D46,T$5&lt;=$E46),1,0)</x:f>
        <x:v>0</x:v>
      </x:c>
      <x:c r="U46" s="36" t="n">
        <x:f>IF(AND(U$5&gt;=$D46,U$5&lt;=$E46),1,0)</x:f>
        <x:v>0</x:v>
      </x:c>
      <x:c r="V46" s="36" t="n">
        <x:f>IF(AND(V$5&gt;=$D46,V$5&lt;=$E46),1,0)</x:f>
        <x:v>0</x:v>
      </x:c>
      <x:c r="W46" s="36" t="n">
        <x:f>IF(AND(W$5&gt;=$D46,W$5&lt;=$E46),1,0)</x:f>
        <x:v>0</x:v>
      </x:c>
      <x:c r="X46" s="36" t="n">
        <x:f>IF(AND(X$5&gt;=$D46,X$5&lt;=$E46),1,0)</x:f>
        <x:v>0</x:v>
      </x:c>
      <x:c r="Y46" s="36" t="n">
        <x:f>IF(AND(Y$5&gt;=$D46,Y$5&lt;=$E46),1,0)</x:f>
        <x:v>0</x:v>
      </x:c>
      <x:c r="Z46" s="36" t="n">
        <x:f>IF(AND(Z$5&gt;=$D46,Z$5&lt;=$E46),1,0)</x:f>
        <x:v>0</x:v>
      </x:c>
      <x:c r="AA46" s="36" t="n">
        <x:f>IF(AND(AA$5&gt;=$D46,AA$5&lt;=$E46),1,0)</x:f>
        <x:v>0</x:v>
      </x:c>
      <x:c r="AB46" s="36" t="n">
        <x:f>IF(AND(AB$5&gt;=$D46,AB$5&lt;=$E46),1,0)</x:f>
        <x:v>0</x:v>
      </x:c>
      <x:c r="AC46" s="36" t="n">
        <x:f>IF(AND(AC$5&gt;=$D46,AC$5&lt;=$E46),1,0)</x:f>
        <x:v>0</x:v>
      </x:c>
      <x:c r="AD46" s="36" t="n">
        <x:f>IF(AND(AD$5&gt;=$D46,AD$5&lt;=$E46),1,0)</x:f>
        <x:v>0</x:v>
      </x:c>
      <x:c r="AE46" s="36" t="n">
        <x:f>IF(AND(AE$5&gt;=$D46,AE$5&lt;=$E46),1,0)</x:f>
        <x:v>0</x:v>
      </x:c>
      <x:c r="AF46" s="36" t="n">
        <x:f>IF(AND(AF$5&gt;=$D46,AF$5&lt;=$E46),1,0)</x:f>
        <x:v>0</x:v>
      </x:c>
      <x:c r="AG46" s="36" t="n">
        <x:f>IF(AND(AG$5&gt;=$D46,AG$5&lt;=$E46),1,0)</x:f>
        <x:v>0</x:v>
      </x:c>
      <x:c r="AH46" s="36" t="n">
        <x:f>IF(AND(AH$5&gt;=$D46,AH$5&lt;=$E46),1,0)</x:f>
        <x:v>0</x:v>
      </x:c>
      <x:c r="AI46" s="36" t="n">
        <x:f>IF(AND(AI$5&gt;=$D46,AI$5&lt;=$E46),1,0)</x:f>
        <x:v>0</x:v>
      </x:c>
      <x:c r="AJ46" s="36" t="n">
        <x:f>IF(AND(AJ$5&gt;=$D46,AJ$5&lt;=$E46),1,0)</x:f>
        <x:v>0</x:v>
      </x:c>
      <x:c r="AK46" s="36" t="n">
        <x:f>IF(AND(AK$5&gt;=$D46,AK$5&lt;=$E46),1,0)</x:f>
        <x:v>0</x:v>
      </x:c>
      <x:c r="AL46" s="36" t="n">
        <x:f>IF(AND(AL$5&gt;=$D46,AL$5&lt;=$E46),1,0)</x:f>
        <x:v>0</x:v>
      </x:c>
      <x:c r="AM46" s="36" t="n">
        <x:f>IF(AND(AM$5&gt;=$D46,AM$5&lt;=$E46),1,0)</x:f>
        <x:v>0</x:v>
      </x:c>
      <x:c r="AN46" s="36" t="n">
        <x:f>IF(AND(AN$5&gt;=$D46,AN$5&lt;=$E46),1,0)</x:f>
        <x:v>0</x:v>
      </x:c>
      <x:c r="AO46" s="36" t="n">
        <x:f>IF(AND(AO$5&gt;=$D46,AO$5&lt;=$E46),1,0)</x:f>
        <x:v>0</x:v>
      </x:c>
      <x:c r="AP46" s="36" t="n">
        <x:f>IF(AND(AP$5&gt;=$D46,AP$5&lt;=$E46),1,0)</x:f>
        <x:v>0</x:v>
      </x:c>
      <x:c r="AQ46" s="36" t="n">
        <x:f>IF(AND(AQ$5&gt;=$D46,AQ$5&lt;=$E46),1,0)</x:f>
        <x:v>0</x:v>
      </x:c>
    </x:row>
    <x:row r="47" ht="38" customHeight="1">
      <x:c r="A47" s="9" t="str">
        <x:v>D05</x:v>
      </x:c>
      <x:c r="B47" s="9" t="str">
        <x:v>Acquire and admit production source batches</x:v>
      </x:c>
      <x:c r="C47" s="9" t="str">
        <x:v>KE</x:v>
      </x:c>
      <x:c r="D47" s="9" t="n">
        <x:f>ROUNDUP('Tasks'!K47/5,0)</x:f>
        <x:v>10</x:v>
      </x:c>
      <x:c r="E47" s="9" t="n">
        <x:f>ROUNDUP('Tasks'!L47/5,0)</x:f>
        <x:v>15</x:v>
      </x:c>
      <x:c r="F47" s="9" t="str">
        <x:f>'Tasks'!R47</x:f>
        <x:v>Not started</x:v>
      </x:c>
      <x:c r="G47" s="37" t="n">
        <x:f>'Tasks'!S47</x:f>
        <x:v>0</x:v>
      </x:c>
      <x:c r="H47" s="38" t="n">
        <x:f>IF(AND(H$5&gt;=$D47,H$5&lt;=$E47),1,0)</x:f>
        <x:v>0</x:v>
      </x:c>
      <x:c r="I47" s="38" t="n">
        <x:f>IF(AND(I$5&gt;=$D47,I$5&lt;=$E47),1,0)</x:f>
        <x:v>0</x:v>
      </x:c>
      <x:c r="J47" s="38" t="n">
        <x:f>IF(AND(J$5&gt;=$D47,J$5&lt;=$E47),1,0)</x:f>
        <x:v>0</x:v>
      </x:c>
      <x:c r="K47" s="38" t="n">
        <x:f>IF(AND(K$5&gt;=$D47,K$5&lt;=$E47),1,0)</x:f>
        <x:v>0</x:v>
      </x:c>
      <x:c r="L47" s="38" t="n">
        <x:f>IF(AND(L$5&gt;=$D47,L$5&lt;=$E47),1,0)</x:f>
        <x:v>0</x:v>
      </x:c>
      <x:c r="M47" s="38" t="n">
        <x:f>IF(AND(M$5&gt;=$D47,M$5&lt;=$E47),1,0)</x:f>
        <x:v>0</x:v>
      </x:c>
      <x:c r="N47" s="38" t="n">
        <x:f>IF(AND(N$5&gt;=$D47,N$5&lt;=$E47),1,0)</x:f>
        <x:v>0</x:v>
      </x:c>
      <x:c r="O47" s="38" t="n">
        <x:f>IF(AND(O$5&gt;=$D47,O$5&lt;=$E47),1,0)</x:f>
        <x:v>0</x:v>
      </x:c>
      <x:c r="P47" s="38" t="n">
        <x:f>IF(AND(P$5&gt;=$D47,P$5&lt;=$E47),1,0)</x:f>
        <x:v>0</x:v>
      </x:c>
      <x:c r="Q47" s="38" t="n">
        <x:f>IF(AND(Q$5&gt;=$D47,Q$5&lt;=$E47),1,0)</x:f>
        <x:v>1</x:v>
      </x:c>
      <x:c r="R47" s="38" t="n">
        <x:f>IF(AND(R$5&gt;=$D47,R$5&lt;=$E47),1,0)</x:f>
        <x:v>1</x:v>
      </x:c>
      <x:c r="S47" s="38" t="n">
        <x:f>IF(AND(S$5&gt;=$D47,S$5&lt;=$E47),1,0)</x:f>
        <x:v>1</x:v>
      </x:c>
      <x:c r="T47" s="38" t="n">
        <x:f>IF(AND(T$5&gt;=$D47,T$5&lt;=$E47),1,0)</x:f>
        <x:v>1</x:v>
      </x:c>
      <x:c r="U47" s="38" t="n">
        <x:f>IF(AND(U$5&gt;=$D47,U$5&lt;=$E47),1,0)</x:f>
        <x:v>1</x:v>
      </x:c>
      <x:c r="V47" s="38" t="n">
        <x:f>IF(AND(V$5&gt;=$D47,V$5&lt;=$E47),1,0)</x:f>
        <x:v>1</x:v>
      </x:c>
      <x:c r="W47" s="38" t="n">
        <x:f>IF(AND(W$5&gt;=$D47,W$5&lt;=$E47),1,0)</x:f>
        <x:v>0</x:v>
      </x:c>
      <x:c r="X47" s="38" t="n">
        <x:f>IF(AND(X$5&gt;=$D47,X$5&lt;=$E47),1,0)</x:f>
        <x:v>0</x:v>
      </x:c>
      <x:c r="Y47" s="38" t="n">
        <x:f>IF(AND(Y$5&gt;=$D47,Y$5&lt;=$E47),1,0)</x:f>
        <x:v>0</x:v>
      </x:c>
      <x:c r="Z47" s="38" t="n">
        <x:f>IF(AND(Z$5&gt;=$D47,Z$5&lt;=$E47),1,0)</x:f>
        <x:v>0</x:v>
      </x:c>
      <x:c r="AA47" s="38" t="n">
        <x:f>IF(AND(AA$5&gt;=$D47,AA$5&lt;=$E47),1,0)</x:f>
        <x:v>0</x:v>
      </x:c>
      <x:c r="AB47" s="38" t="n">
        <x:f>IF(AND(AB$5&gt;=$D47,AB$5&lt;=$E47),1,0)</x:f>
        <x:v>0</x:v>
      </x:c>
      <x:c r="AC47" s="38" t="n">
        <x:f>IF(AND(AC$5&gt;=$D47,AC$5&lt;=$E47),1,0)</x:f>
        <x:v>0</x:v>
      </x:c>
      <x:c r="AD47" s="38" t="n">
        <x:f>IF(AND(AD$5&gt;=$D47,AD$5&lt;=$E47),1,0)</x:f>
        <x:v>0</x:v>
      </x:c>
      <x:c r="AE47" s="38" t="n">
        <x:f>IF(AND(AE$5&gt;=$D47,AE$5&lt;=$E47),1,0)</x:f>
        <x:v>0</x:v>
      </x:c>
      <x:c r="AF47" s="38" t="n">
        <x:f>IF(AND(AF$5&gt;=$D47,AF$5&lt;=$E47),1,0)</x:f>
        <x:v>0</x:v>
      </x:c>
      <x:c r="AG47" s="38" t="n">
        <x:f>IF(AND(AG$5&gt;=$D47,AG$5&lt;=$E47),1,0)</x:f>
        <x:v>0</x:v>
      </x:c>
      <x:c r="AH47" s="38" t="n">
        <x:f>IF(AND(AH$5&gt;=$D47,AH$5&lt;=$E47),1,0)</x:f>
        <x:v>0</x:v>
      </x:c>
      <x:c r="AI47" s="38" t="n">
        <x:f>IF(AND(AI$5&gt;=$D47,AI$5&lt;=$E47),1,0)</x:f>
        <x:v>0</x:v>
      </x:c>
      <x:c r="AJ47" s="38" t="n">
        <x:f>IF(AND(AJ$5&gt;=$D47,AJ$5&lt;=$E47),1,0)</x:f>
        <x:v>0</x:v>
      </x:c>
      <x:c r="AK47" s="38" t="n">
        <x:f>IF(AND(AK$5&gt;=$D47,AK$5&lt;=$E47),1,0)</x:f>
        <x:v>0</x:v>
      </x:c>
      <x:c r="AL47" s="38" t="n">
        <x:f>IF(AND(AL$5&gt;=$D47,AL$5&lt;=$E47),1,0)</x:f>
        <x:v>0</x:v>
      </x:c>
      <x:c r="AM47" s="38" t="n">
        <x:f>IF(AND(AM$5&gt;=$D47,AM$5&lt;=$E47),1,0)</x:f>
        <x:v>0</x:v>
      </x:c>
      <x:c r="AN47" s="38" t="n">
        <x:f>IF(AND(AN$5&gt;=$D47,AN$5&lt;=$E47),1,0)</x:f>
        <x:v>0</x:v>
      </x:c>
      <x:c r="AO47" s="38" t="n">
        <x:f>IF(AND(AO$5&gt;=$D47,AO$5&lt;=$E47),1,0)</x:f>
        <x:v>0</x:v>
      </x:c>
      <x:c r="AP47" s="38" t="n">
        <x:f>IF(AND(AP$5&gt;=$D47,AP$5&lt;=$E47),1,0)</x:f>
        <x:v>0</x:v>
      </x:c>
      <x:c r="AQ47" s="38" t="n">
        <x:f>IF(AND(AQ$5&gt;=$D47,AQ$5&lt;=$E47),1,0)</x:f>
        <x:v>0</x:v>
      </x:c>
    </x:row>
    <x:row r="48" ht="38" customHeight="1">
      <x:c r="A48" s="10" t="str">
        <x:v>D06</x:v>
      </x:c>
      <x:c r="B48" s="10" t="str">
        <x:v>Expand and reconcile 300 case families</x:v>
      </x:c>
      <x:c r="C48" s="10" t="str">
        <x:v>KE</x:v>
      </x:c>
      <x:c r="D48" s="10" t="n">
        <x:f>ROUNDUP('Tasks'!K48/5,0)</x:f>
        <x:v>15</x:v>
      </x:c>
      <x:c r="E48" s="10" t="n">
        <x:f>ROUNDUP('Tasks'!L48/5,0)</x:f>
        <x:v>19</x:v>
      </x:c>
      <x:c r="F48" s="10" t="str">
        <x:f>'Tasks'!R48</x:f>
        <x:v>Not started</x:v>
      </x:c>
      <x:c r="G48" s="35" t="n">
        <x:f>'Tasks'!S48</x:f>
        <x:v>0</x:v>
      </x:c>
      <x:c r="H48" s="36" t="n">
        <x:f>IF(AND(H$5&gt;=$D48,H$5&lt;=$E48),1,0)</x:f>
        <x:v>0</x:v>
      </x:c>
      <x:c r="I48" s="36" t="n">
        <x:f>IF(AND(I$5&gt;=$D48,I$5&lt;=$E48),1,0)</x:f>
        <x:v>0</x:v>
      </x:c>
      <x:c r="J48" s="36" t="n">
        <x:f>IF(AND(J$5&gt;=$D48,J$5&lt;=$E48),1,0)</x:f>
        <x:v>0</x:v>
      </x:c>
      <x:c r="K48" s="36" t="n">
        <x:f>IF(AND(K$5&gt;=$D48,K$5&lt;=$E48),1,0)</x:f>
        <x:v>0</x:v>
      </x:c>
      <x:c r="L48" s="36" t="n">
        <x:f>IF(AND(L$5&gt;=$D48,L$5&lt;=$E48),1,0)</x:f>
        <x:v>0</x:v>
      </x:c>
      <x:c r="M48" s="36" t="n">
        <x:f>IF(AND(M$5&gt;=$D48,M$5&lt;=$E48),1,0)</x:f>
        <x:v>0</x:v>
      </x:c>
      <x:c r="N48" s="36" t="n">
        <x:f>IF(AND(N$5&gt;=$D48,N$5&lt;=$E48),1,0)</x:f>
        <x:v>0</x:v>
      </x:c>
      <x:c r="O48" s="36" t="n">
        <x:f>IF(AND(O$5&gt;=$D48,O$5&lt;=$E48),1,0)</x:f>
        <x:v>0</x:v>
      </x:c>
      <x:c r="P48" s="36" t="n">
        <x:f>IF(AND(P$5&gt;=$D48,P$5&lt;=$E48),1,0)</x:f>
        <x:v>0</x:v>
      </x:c>
      <x:c r="Q48" s="36" t="n">
        <x:f>IF(AND(Q$5&gt;=$D48,Q$5&lt;=$E48),1,0)</x:f>
        <x:v>0</x:v>
      </x:c>
      <x:c r="R48" s="36" t="n">
        <x:f>IF(AND(R$5&gt;=$D48,R$5&lt;=$E48),1,0)</x:f>
        <x:v>0</x:v>
      </x:c>
      <x:c r="S48" s="36" t="n">
        <x:f>IF(AND(S$5&gt;=$D48,S$5&lt;=$E48),1,0)</x:f>
        <x:v>0</x:v>
      </x:c>
      <x:c r="T48" s="36" t="n">
        <x:f>IF(AND(T$5&gt;=$D48,T$5&lt;=$E48),1,0)</x:f>
        <x:v>0</x:v>
      </x:c>
      <x:c r="U48" s="36" t="n">
        <x:f>IF(AND(U$5&gt;=$D48,U$5&lt;=$E48),1,0)</x:f>
        <x:v>0</x:v>
      </x:c>
      <x:c r="V48" s="36" t="n">
        <x:f>IF(AND(V$5&gt;=$D48,V$5&lt;=$E48),1,0)</x:f>
        <x:v>1</x:v>
      </x:c>
      <x:c r="W48" s="36" t="n">
        <x:f>IF(AND(W$5&gt;=$D48,W$5&lt;=$E48),1,0)</x:f>
        <x:v>1</x:v>
      </x:c>
      <x:c r="X48" s="36" t="n">
        <x:f>IF(AND(X$5&gt;=$D48,X$5&lt;=$E48),1,0)</x:f>
        <x:v>1</x:v>
      </x:c>
      <x:c r="Y48" s="36" t="n">
        <x:f>IF(AND(Y$5&gt;=$D48,Y$5&lt;=$E48),1,0)</x:f>
        <x:v>1</x:v>
      </x:c>
      <x:c r="Z48" s="36" t="n">
        <x:f>IF(AND(Z$5&gt;=$D48,Z$5&lt;=$E48),1,0)</x:f>
        <x:v>1</x:v>
      </x:c>
      <x:c r="AA48" s="36" t="n">
        <x:f>IF(AND(AA$5&gt;=$D48,AA$5&lt;=$E48),1,0)</x:f>
        <x:v>0</x:v>
      </x:c>
      <x:c r="AB48" s="36" t="n">
        <x:f>IF(AND(AB$5&gt;=$D48,AB$5&lt;=$E48),1,0)</x:f>
        <x:v>0</x:v>
      </x:c>
      <x:c r="AC48" s="36" t="n">
        <x:f>IF(AND(AC$5&gt;=$D48,AC$5&lt;=$E48),1,0)</x:f>
        <x:v>0</x:v>
      </x:c>
      <x:c r="AD48" s="36" t="n">
        <x:f>IF(AND(AD$5&gt;=$D48,AD$5&lt;=$E48),1,0)</x:f>
        <x:v>0</x:v>
      </x:c>
      <x:c r="AE48" s="36" t="n">
        <x:f>IF(AND(AE$5&gt;=$D48,AE$5&lt;=$E48),1,0)</x:f>
        <x:v>0</x:v>
      </x:c>
      <x:c r="AF48" s="36" t="n">
        <x:f>IF(AND(AF$5&gt;=$D48,AF$5&lt;=$E48),1,0)</x:f>
        <x:v>0</x:v>
      </x:c>
      <x:c r="AG48" s="36" t="n">
        <x:f>IF(AND(AG$5&gt;=$D48,AG$5&lt;=$E48),1,0)</x:f>
        <x:v>0</x:v>
      </x:c>
      <x:c r="AH48" s="36" t="n">
        <x:f>IF(AND(AH$5&gt;=$D48,AH$5&lt;=$E48),1,0)</x:f>
        <x:v>0</x:v>
      </x:c>
      <x:c r="AI48" s="36" t="n">
        <x:f>IF(AND(AI$5&gt;=$D48,AI$5&lt;=$E48),1,0)</x:f>
        <x:v>0</x:v>
      </x:c>
      <x:c r="AJ48" s="36" t="n">
        <x:f>IF(AND(AJ$5&gt;=$D48,AJ$5&lt;=$E48),1,0)</x:f>
        <x:v>0</x:v>
      </x:c>
      <x:c r="AK48" s="36" t="n">
        <x:f>IF(AND(AK$5&gt;=$D48,AK$5&lt;=$E48),1,0)</x:f>
        <x:v>0</x:v>
      </x:c>
      <x:c r="AL48" s="36" t="n">
        <x:f>IF(AND(AL$5&gt;=$D48,AL$5&lt;=$E48),1,0)</x:f>
        <x:v>0</x:v>
      </x:c>
      <x:c r="AM48" s="36" t="n">
        <x:f>IF(AND(AM$5&gt;=$D48,AM$5&lt;=$E48),1,0)</x:f>
        <x:v>0</x:v>
      </x:c>
      <x:c r="AN48" s="36" t="n">
        <x:f>IF(AND(AN$5&gt;=$D48,AN$5&lt;=$E48),1,0)</x:f>
        <x:v>0</x:v>
      </x:c>
      <x:c r="AO48" s="36" t="n">
        <x:f>IF(AND(AO$5&gt;=$D48,AO$5&lt;=$E48),1,0)</x:f>
        <x:v>0</x:v>
      </x:c>
      <x:c r="AP48" s="36" t="n">
        <x:f>IF(AND(AP$5&gt;=$D48,AP$5&lt;=$E48),1,0)</x:f>
        <x:v>0</x:v>
      </x:c>
      <x:c r="AQ48" s="36" t="n">
        <x:f>IF(AND(AQ$5&gt;=$D48,AQ$5&lt;=$E48),1,0)</x:f>
        <x:v>0</x:v>
      </x:c>
    </x:row>
    <x:row r="49" ht="38" customHeight="1">
      <x:c r="A49" s="9" t="str">
        <x:v>D07</x:v>
      </x:c>
      <x:c r="B49" s="9" t="str">
        <x:v>Author remaining 1600 examples</x:v>
      </x:c>
      <x:c r="C49" s="9" t="str">
        <x:v>KE</x:v>
      </x:c>
      <x:c r="D49" s="9" t="n">
        <x:f>ROUNDUP('Tasks'!K49/5,0)</x:f>
        <x:v>19</x:v>
      </x:c>
      <x:c r="E49" s="9" t="n">
        <x:f>ROUNDUP('Tasks'!L49/5,0)</x:f>
        <x:v>21</x:v>
      </x:c>
      <x:c r="F49" s="9" t="str">
        <x:f>'Tasks'!R49</x:f>
        <x:v>Not started</x:v>
      </x:c>
      <x:c r="G49" s="37" t="n">
        <x:f>'Tasks'!S49</x:f>
        <x:v>0</x:v>
      </x:c>
      <x:c r="H49" s="38" t="n">
        <x:f>IF(AND(H$5&gt;=$D49,H$5&lt;=$E49),1,0)</x:f>
        <x:v>0</x:v>
      </x:c>
      <x:c r="I49" s="38" t="n">
        <x:f>IF(AND(I$5&gt;=$D49,I$5&lt;=$E49),1,0)</x:f>
        <x:v>0</x:v>
      </x:c>
      <x:c r="J49" s="38" t="n">
        <x:f>IF(AND(J$5&gt;=$D49,J$5&lt;=$E49),1,0)</x:f>
        <x:v>0</x:v>
      </x:c>
      <x:c r="K49" s="38" t="n">
        <x:f>IF(AND(K$5&gt;=$D49,K$5&lt;=$E49),1,0)</x:f>
        <x:v>0</x:v>
      </x:c>
      <x:c r="L49" s="38" t="n">
        <x:f>IF(AND(L$5&gt;=$D49,L$5&lt;=$E49),1,0)</x:f>
        <x:v>0</x:v>
      </x:c>
      <x:c r="M49" s="38" t="n">
        <x:f>IF(AND(M$5&gt;=$D49,M$5&lt;=$E49),1,0)</x:f>
        <x:v>0</x:v>
      </x:c>
      <x:c r="N49" s="38" t="n">
        <x:f>IF(AND(N$5&gt;=$D49,N$5&lt;=$E49),1,0)</x:f>
        <x:v>0</x:v>
      </x:c>
      <x:c r="O49" s="38" t="n">
        <x:f>IF(AND(O$5&gt;=$D49,O$5&lt;=$E49),1,0)</x:f>
        <x:v>0</x:v>
      </x:c>
      <x:c r="P49" s="38" t="n">
        <x:f>IF(AND(P$5&gt;=$D49,P$5&lt;=$E49),1,0)</x:f>
        <x:v>0</x:v>
      </x:c>
      <x:c r="Q49" s="38" t="n">
        <x:f>IF(AND(Q$5&gt;=$D49,Q$5&lt;=$E49),1,0)</x:f>
        <x:v>0</x:v>
      </x:c>
      <x:c r="R49" s="38" t="n">
        <x:f>IF(AND(R$5&gt;=$D49,R$5&lt;=$E49),1,0)</x:f>
        <x:v>0</x:v>
      </x:c>
      <x:c r="S49" s="38" t="n">
        <x:f>IF(AND(S$5&gt;=$D49,S$5&lt;=$E49),1,0)</x:f>
        <x:v>0</x:v>
      </x:c>
      <x:c r="T49" s="38" t="n">
        <x:f>IF(AND(T$5&gt;=$D49,T$5&lt;=$E49),1,0)</x:f>
        <x:v>0</x:v>
      </x:c>
      <x:c r="U49" s="38" t="n">
        <x:f>IF(AND(U$5&gt;=$D49,U$5&lt;=$E49),1,0)</x:f>
        <x:v>0</x:v>
      </x:c>
      <x:c r="V49" s="38" t="n">
        <x:f>IF(AND(V$5&gt;=$D49,V$5&lt;=$E49),1,0)</x:f>
        <x:v>0</x:v>
      </x:c>
      <x:c r="W49" s="38" t="n">
        <x:f>IF(AND(W$5&gt;=$D49,W$5&lt;=$E49),1,0)</x:f>
        <x:v>0</x:v>
      </x:c>
      <x:c r="X49" s="38" t="n">
        <x:f>IF(AND(X$5&gt;=$D49,X$5&lt;=$E49),1,0)</x:f>
        <x:v>0</x:v>
      </x:c>
      <x:c r="Y49" s="38" t="n">
        <x:f>IF(AND(Y$5&gt;=$D49,Y$5&lt;=$E49),1,0)</x:f>
        <x:v>0</x:v>
      </x:c>
      <x:c r="Z49" s="38" t="n">
        <x:f>IF(AND(Z$5&gt;=$D49,Z$5&lt;=$E49),1,0)</x:f>
        <x:v>1</x:v>
      </x:c>
      <x:c r="AA49" s="38" t="n">
        <x:f>IF(AND(AA$5&gt;=$D49,AA$5&lt;=$E49),1,0)</x:f>
        <x:v>1</x:v>
      </x:c>
      <x:c r="AB49" s="38" t="n">
        <x:f>IF(AND(AB$5&gt;=$D49,AB$5&lt;=$E49),1,0)</x:f>
        <x:v>1</x:v>
      </x:c>
      <x:c r="AC49" s="38" t="n">
        <x:f>IF(AND(AC$5&gt;=$D49,AC$5&lt;=$E49),1,0)</x:f>
        <x:v>0</x:v>
      </x:c>
      <x:c r="AD49" s="38" t="n">
        <x:f>IF(AND(AD$5&gt;=$D49,AD$5&lt;=$E49),1,0)</x:f>
        <x:v>0</x:v>
      </x:c>
      <x:c r="AE49" s="38" t="n">
        <x:f>IF(AND(AE$5&gt;=$D49,AE$5&lt;=$E49),1,0)</x:f>
        <x:v>0</x:v>
      </x:c>
      <x:c r="AF49" s="38" t="n">
        <x:f>IF(AND(AF$5&gt;=$D49,AF$5&lt;=$E49),1,0)</x:f>
        <x:v>0</x:v>
      </x:c>
      <x:c r="AG49" s="38" t="n">
        <x:f>IF(AND(AG$5&gt;=$D49,AG$5&lt;=$E49),1,0)</x:f>
        <x:v>0</x:v>
      </x:c>
      <x:c r="AH49" s="38" t="n">
        <x:f>IF(AND(AH$5&gt;=$D49,AH$5&lt;=$E49),1,0)</x:f>
        <x:v>0</x:v>
      </x:c>
      <x:c r="AI49" s="38" t="n">
        <x:f>IF(AND(AI$5&gt;=$D49,AI$5&lt;=$E49),1,0)</x:f>
        <x:v>0</x:v>
      </x:c>
      <x:c r="AJ49" s="38" t="n">
        <x:f>IF(AND(AJ$5&gt;=$D49,AJ$5&lt;=$E49),1,0)</x:f>
        <x:v>0</x:v>
      </x:c>
      <x:c r="AK49" s="38" t="n">
        <x:f>IF(AND(AK$5&gt;=$D49,AK$5&lt;=$E49),1,0)</x:f>
        <x:v>0</x:v>
      </x:c>
      <x:c r="AL49" s="38" t="n">
        <x:f>IF(AND(AL$5&gt;=$D49,AL$5&lt;=$E49),1,0)</x:f>
        <x:v>0</x:v>
      </x:c>
      <x:c r="AM49" s="38" t="n">
        <x:f>IF(AND(AM$5&gt;=$D49,AM$5&lt;=$E49),1,0)</x:f>
        <x:v>0</x:v>
      </x:c>
      <x:c r="AN49" s="38" t="n">
        <x:f>IF(AND(AN$5&gt;=$D49,AN$5&lt;=$E49),1,0)</x:f>
        <x:v>0</x:v>
      </x:c>
      <x:c r="AO49" s="38" t="n">
        <x:f>IF(AND(AO$5&gt;=$D49,AO$5&lt;=$E49),1,0)</x:f>
        <x:v>0</x:v>
      </x:c>
      <x:c r="AP49" s="38" t="n">
        <x:f>IF(AND(AP$5&gt;=$D49,AP$5&lt;=$E49),1,0)</x:f>
        <x:v>0</x:v>
      </x:c>
      <x:c r="AQ49" s="38" t="n">
        <x:f>IF(AND(AQ$5&gt;=$D49,AQ$5&lt;=$E49),1,0)</x:f>
        <x:v>0</x:v>
      </x:c>
    </x:row>
    <x:row r="50" ht="38" customHeight="1">
      <x:c r="A50" s="10" t="str">
        <x:v>D08</x:v>
      </x:c>
      <x:c r="B50" s="10" t="str">
        <x:v>Build full development and locked suites</x:v>
      </x:c>
      <x:c r="C50" s="10" t="str">
        <x:v>TD</x:v>
      </x:c>
      <x:c r="D50" s="10" t="n">
        <x:f>ROUNDUP('Tasks'!K50/5,0)</x:f>
        <x:v>19</x:v>
      </x:c>
      <x:c r="E50" s="10" t="n">
        <x:f>ROUNDUP('Tasks'!L50/5,0)</x:f>
        <x:v>21</x:v>
      </x:c>
      <x:c r="F50" s="10" t="str">
        <x:f>'Tasks'!R50</x:f>
        <x:v>Not started</x:v>
      </x:c>
      <x:c r="G50" s="35" t="n">
        <x:f>'Tasks'!S50</x:f>
        <x:v>0</x:v>
      </x:c>
      <x:c r="H50" s="36" t="n">
        <x:f>IF(AND(H$5&gt;=$D50,H$5&lt;=$E50),1,0)</x:f>
        <x:v>0</x:v>
      </x:c>
      <x:c r="I50" s="36" t="n">
        <x:f>IF(AND(I$5&gt;=$D50,I$5&lt;=$E50),1,0)</x:f>
        <x:v>0</x:v>
      </x:c>
      <x:c r="J50" s="36" t="n">
        <x:f>IF(AND(J$5&gt;=$D50,J$5&lt;=$E50),1,0)</x:f>
        <x:v>0</x:v>
      </x:c>
      <x:c r="K50" s="36" t="n">
        <x:f>IF(AND(K$5&gt;=$D50,K$5&lt;=$E50),1,0)</x:f>
        <x:v>0</x:v>
      </x:c>
      <x:c r="L50" s="36" t="n">
        <x:f>IF(AND(L$5&gt;=$D50,L$5&lt;=$E50),1,0)</x:f>
        <x:v>0</x:v>
      </x:c>
      <x:c r="M50" s="36" t="n">
        <x:f>IF(AND(M$5&gt;=$D50,M$5&lt;=$E50),1,0)</x:f>
        <x:v>0</x:v>
      </x:c>
      <x:c r="N50" s="36" t="n">
        <x:f>IF(AND(N$5&gt;=$D50,N$5&lt;=$E50),1,0)</x:f>
        <x:v>0</x:v>
      </x:c>
      <x:c r="O50" s="36" t="n">
        <x:f>IF(AND(O$5&gt;=$D50,O$5&lt;=$E50),1,0)</x:f>
        <x:v>0</x:v>
      </x:c>
      <x:c r="P50" s="36" t="n">
        <x:f>IF(AND(P$5&gt;=$D50,P$5&lt;=$E50),1,0)</x:f>
        <x:v>0</x:v>
      </x:c>
      <x:c r="Q50" s="36" t="n">
        <x:f>IF(AND(Q$5&gt;=$D50,Q$5&lt;=$E50),1,0)</x:f>
        <x:v>0</x:v>
      </x:c>
      <x:c r="R50" s="36" t="n">
        <x:f>IF(AND(R$5&gt;=$D50,R$5&lt;=$E50),1,0)</x:f>
        <x:v>0</x:v>
      </x:c>
      <x:c r="S50" s="36" t="n">
        <x:f>IF(AND(S$5&gt;=$D50,S$5&lt;=$E50),1,0)</x:f>
        <x:v>0</x:v>
      </x:c>
      <x:c r="T50" s="36" t="n">
        <x:f>IF(AND(T$5&gt;=$D50,T$5&lt;=$E50),1,0)</x:f>
        <x:v>0</x:v>
      </x:c>
      <x:c r="U50" s="36" t="n">
        <x:f>IF(AND(U$5&gt;=$D50,U$5&lt;=$E50),1,0)</x:f>
        <x:v>0</x:v>
      </x:c>
      <x:c r="V50" s="36" t="n">
        <x:f>IF(AND(V$5&gt;=$D50,V$5&lt;=$E50),1,0)</x:f>
        <x:v>0</x:v>
      </x:c>
      <x:c r="W50" s="36" t="n">
        <x:f>IF(AND(W$5&gt;=$D50,W$5&lt;=$E50),1,0)</x:f>
        <x:v>0</x:v>
      </x:c>
      <x:c r="X50" s="36" t="n">
        <x:f>IF(AND(X$5&gt;=$D50,X$5&lt;=$E50),1,0)</x:f>
        <x:v>0</x:v>
      </x:c>
      <x:c r="Y50" s="36" t="n">
        <x:f>IF(AND(Y$5&gt;=$D50,Y$5&lt;=$E50),1,0)</x:f>
        <x:v>0</x:v>
      </x:c>
      <x:c r="Z50" s="36" t="n">
        <x:f>IF(AND(Z$5&gt;=$D50,Z$5&lt;=$E50),1,0)</x:f>
        <x:v>1</x:v>
      </x:c>
      <x:c r="AA50" s="36" t="n">
        <x:f>IF(AND(AA$5&gt;=$D50,AA$5&lt;=$E50),1,0)</x:f>
        <x:v>1</x:v>
      </x:c>
      <x:c r="AB50" s="36" t="n">
        <x:f>IF(AND(AB$5&gt;=$D50,AB$5&lt;=$E50),1,0)</x:f>
        <x:v>1</x:v>
      </x:c>
      <x:c r="AC50" s="36" t="n">
        <x:f>IF(AND(AC$5&gt;=$D50,AC$5&lt;=$E50),1,0)</x:f>
        <x:v>0</x:v>
      </x:c>
      <x:c r="AD50" s="36" t="n">
        <x:f>IF(AND(AD$5&gt;=$D50,AD$5&lt;=$E50),1,0)</x:f>
        <x:v>0</x:v>
      </x:c>
      <x:c r="AE50" s="36" t="n">
        <x:f>IF(AND(AE$5&gt;=$D50,AE$5&lt;=$E50),1,0)</x:f>
        <x:v>0</x:v>
      </x:c>
      <x:c r="AF50" s="36" t="n">
        <x:f>IF(AND(AF$5&gt;=$D50,AF$5&lt;=$E50),1,0)</x:f>
        <x:v>0</x:v>
      </x:c>
      <x:c r="AG50" s="36" t="n">
        <x:f>IF(AND(AG$5&gt;=$D50,AG$5&lt;=$E50),1,0)</x:f>
        <x:v>0</x:v>
      </x:c>
      <x:c r="AH50" s="36" t="n">
        <x:f>IF(AND(AH$5&gt;=$D50,AH$5&lt;=$E50),1,0)</x:f>
        <x:v>0</x:v>
      </x:c>
      <x:c r="AI50" s="36" t="n">
        <x:f>IF(AND(AI$5&gt;=$D50,AI$5&lt;=$E50),1,0)</x:f>
        <x:v>0</x:v>
      </x:c>
      <x:c r="AJ50" s="36" t="n">
        <x:f>IF(AND(AJ$5&gt;=$D50,AJ$5&lt;=$E50),1,0)</x:f>
        <x:v>0</x:v>
      </x:c>
      <x:c r="AK50" s="36" t="n">
        <x:f>IF(AND(AK$5&gt;=$D50,AK$5&lt;=$E50),1,0)</x:f>
        <x:v>0</x:v>
      </x:c>
      <x:c r="AL50" s="36" t="n">
        <x:f>IF(AND(AL$5&gt;=$D50,AL$5&lt;=$E50),1,0)</x:f>
        <x:v>0</x:v>
      </x:c>
      <x:c r="AM50" s="36" t="n">
        <x:f>IF(AND(AM$5&gt;=$D50,AM$5&lt;=$E50),1,0)</x:f>
        <x:v>0</x:v>
      </x:c>
      <x:c r="AN50" s="36" t="n">
        <x:f>IF(AND(AN$5&gt;=$D50,AN$5&lt;=$E50),1,0)</x:f>
        <x:v>0</x:v>
      </x:c>
      <x:c r="AO50" s="36" t="n">
        <x:f>IF(AND(AO$5&gt;=$D50,AO$5&lt;=$E50),1,0)</x:f>
        <x:v>0</x:v>
      </x:c>
      <x:c r="AP50" s="36" t="n">
        <x:f>IF(AND(AP$5&gt;=$D50,AP$5&lt;=$E50),1,0)</x:f>
        <x:v>0</x:v>
      </x:c>
      <x:c r="AQ50" s="36" t="n">
        <x:f>IF(AND(AQ$5&gt;=$D50,AQ$5&lt;=$E50),1,0)</x:f>
        <x:v>0</x:v>
      </x:c>
    </x:row>
    <x:row r="51" ht="38" customHeight="1">
      <x:c r="A51" s="9" t="str">
        <x:v>D09</x:v>
      </x:c>
      <x:c r="B51" s="9" t="str">
        <x:v>Audit data rights lineage and contamination</x:v>
      </x:c>
      <x:c r="C51" s="9" t="str">
        <x:v>KE</x:v>
      </x:c>
      <x:c r="D51" s="9" t="n">
        <x:f>ROUNDUP('Tasks'!K51/5,0)</x:f>
        <x:v>21</x:v>
      </x:c>
      <x:c r="E51" s="9" t="n">
        <x:f>ROUNDUP('Tasks'!L51/5,0)</x:f>
        <x:v>22</x:v>
      </x:c>
      <x:c r="F51" s="9" t="str">
        <x:f>'Tasks'!R51</x:f>
        <x:v>Not started</x:v>
      </x:c>
      <x:c r="G51" s="37" t="n">
        <x:f>'Tasks'!S51</x:f>
        <x:v>0</x:v>
      </x:c>
      <x:c r="H51" s="38" t="n">
        <x:f>IF(AND(H$5&gt;=$D51,H$5&lt;=$E51),1,0)</x:f>
        <x:v>0</x:v>
      </x:c>
      <x:c r="I51" s="38" t="n">
        <x:f>IF(AND(I$5&gt;=$D51,I$5&lt;=$E51),1,0)</x:f>
        <x:v>0</x:v>
      </x:c>
      <x:c r="J51" s="38" t="n">
        <x:f>IF(AND(J$5&gt;=$D51,J$5&lt;=$E51),1,0)</x:f>
        <x:v>0</x:v>
      </x:c>
      <x:c r="K51" s="38" t="n">
        <x:f>IF(AND(K$5&gt;=$D51,K$5&lt;=$E51),1,0)</x:f>
        <x:v>0</x:v>
      </x:c>
      <x:c r="L51" s="38" t="n">
        <x:f>IF(AND(L$5&gt;=$D51,L$5&lt;=$E51),1,0)</x:f>
        <x:v>0</x:v>
      </x:c>
      <x:c r="M51" s="38" t="n">
        <x:f>IF(AND(M$5&gt;=$D51,M$5&lt;=$E51),1,0)</x:f>
        <x:v>0</x:v>
      </x:c>
      <x:c r="N51" s="38" t="n">
        <x:f>IF(AND(N$5&gt;=$D51,N$5&lt;=$E51),1,0)</x:f>
        <x:v>0</x:v>
      </x:c>
      <x:c r="O51" s="38" t="n">
        <x:f>IF(AND(O$5&gt;=$D51,O$5&lt;=$E51),1,0)</x:f>
        <x:v>0</x:v>
      </x:c>
      <x:c r="P51" s="38" t="n">
        <x:f>IF(AND(P$5&gt;=$D51,P$5&lt;=$E51),1,0)</x:f>
        <x:v>0</x:v>
      </x:c>
      <x:c r="Q51" s="38" t="n">
        <x:f>IF(AND(Q$5&gt;=$D51,Q$5&lt;=$E51),1,0)</x:f>
        <x:v>0</x:v>
      </x:c>
      <x:c r="R51" s="38" t="n">
        <x:f>IF(AND(R$5&gt;=$D51,R$5&lt;=$E51),1,0)</x:f>
        <x:v>0</x:v>
      </x:c>
      <x:c r="S51" s="38" t="n">
        <x:f>IF(AND(S$5&gt;=$D51,S$5&lt;=$E51),1,0)</x:f>
        <x:v>0</x:v>
      </x:c>
      <x:c r="T51" s="38" t="n">
        <x:f>IF(AND(T$5&gt;=$D51,T$5&lt;=$E51),1,0)</x:f>
        <x:v>0</x:v>
      </x:c>
      <x:c r="U51" s="38" t="n">
        <x:f>IF(AND(U$5&gt;=$D51,U$5&lt;=$E51),1,0)</x:f>
        <x:v>0</x:v>
      </x:c>
      <x:c r="V51" s="38" t="n">
        <x:f>IF(AND(V$5&gt;=$D51,V$5&lt;=$E51),1,0)</x:f>
        <x:v>0</x:v>
      </x:c>
      <x:c r="W51" s="38" t="n">
        <x:f>IF(AND(W$5&gt;=$D51,W$5&lt;=$E51),1,0)</x:f>
        <x:v>0</x:v>
      </x:c>
      <x:c r="X51" s="38" t="n">
        <x:f>IF(AND(X$5&gt;=$D51,X$5&lt;=$E51),1,0)</x:f>
        <x:v>0</x:v>
      </x:c>
      <x:c r="Y51" s="38" t="n">
        <x:f>IF(AND(Y$5&gt;=$D51,Y$5&lt;=$E51),1,0)</x:f>
        <x:v>0</x:v>
      </x:c>
      <x:c r="Z51" s="38" t="n">
        <x:f>IF(AND(Z$5&gt;=$D51,Z$5&lt;=$E51),1,0)</x:f>
        <x:v>0</x:v>
      </x:c>
      <x:c r="AA51" s="38" t="n">
        <x:f>IF(AND(AA$5&gt;=$D51,AA$5&lt;=$E51),1,0)</x:f>
        <x:v>0</x:v>
      </x:c>
      <x:c r="AB51" s="38" t="n">
        <x:f>IF(AND(AB$5&gt;=$D51,AB$5&lt;=$E51),1,0)</x:f>
        <x:v>1</x:v>
      </x:c>
      <x:c r="AC51" s="38" t="n">
        <x:f>IF(AND(AC$5&gt;=$D51,AC$5&lt;=$E51),1,0)</x:f>
        <x:v>1</x:v>
      </x:c>
      <x:c r="AD51" s="38" t="n">
        <x:f>IF(AND(AD$5&gt;=$D51,AD$5&lt;=$E51),1,0)</x:f>
        <x:v>0</x:v>
      </x:c>
      <x:c r="AE51" s="38" t="n">
        <x:f>IF(AND(AE$5&gt;=$D51,AE$5&lt;=$E51),1,0)</x:f>
        <x:v>0</x:v>
      </x:c>
      <x:c r="AF51" s="38" t="n">
        <x:f>IF(AND(AF$5&gt;=$D51,AF$5&lt;=$E51),1,0)</x:f>
        <x:v>0</x:v>
      </x:c>
      <x:c r="AG51" s="38" t="n">
        <x:f>IF(AND(AG$5&gt;=$D51,AG$5&lt;=$E51),1,0)</x:f>
        <x:v>0</x:v>
      </x:c>
      <x:c r="AH51" s="38" t="n">
        <x:f>IF(AND(AH$5&gt;=$D51,AH$5&lt;=$E51),1,0)</x:f>
        <x:v>0</x:v>
      </x:c>
      <x:c r="AI51" s="38" t="n">
        <x:f>IF(AND(AI$5&gt;=$D51,AI$5&lt;=$E51),1,0)</x:f>
        <x:v>0</x:v>
      </x:c>
      <x:c r="AJ51" s="38" t="n">
        <x:f>IF(AND(AJ$5&gt;=$D51,AJ$5&lt;=$E51),1,0)</x:f>
        <x:v>0</x:v>
      </x:c>
      <x:c r="AK51" s="38" t="n">
        <x:f>IF(AND(AK$5&gt;=$D51,AK$5&lt;=$E51),1,0)</x:f>
        <x:v>0</x:v>
      </x:c>
      <x:c r="AL51" s="38" t="n">
        <x:f>IF(AND(AL$5&gt;=$D51,AL$5&lt;=$E51),1,0)</x:f>
        <x:v>0</x:v>
      </x:c>
      <x:c r="AM51" s="38" t="n">
        <x:f>IF(AND(AM$5&gt;=$D51,AM$5&lt;=$E51),1,0)</x:f>
        <x:v>0</x:v>
      </x:c>
      <x:c r="AN51" s="38" t="n">
        <x:f>IF(AND(AN$5&gt;=$D51,AN$5&lt;=$E51),1,0)</x:f>
        <x:v>0</x:v>
      </x:c>
      <x:c r="AO51" s="38" t="n">
        <x:f>IF(AND(AO$5&gt;=$D51,AO$5&lt;=$E51),1,0)</x:f>
        <x:v>0</x:v>
      </x:c>
      <x:c r="AP51" s="38" t="n">
        <x:f>IF(AND(AP$5&gt;=$D51,AP$5&lt;=$E51),1,0)</x:f>
        <x:v>0</x:v>
      </x:c>
      <x:c r="AQ51" s="38" t="n">
        <x:f>IF(AND(AQ$5&gt;=$D51,AQ$5&lt;=$E51),1,0)</x:f>
        <x:v>0</x:v>
      </x:c>
    </x:row>
    <x:row r="52" ht="38" customHeight="1">
      <x:c r="A52" s="10" t="str">
        <x:v>D10</x:v>
      </x:c>
      <x:c r="B52" s="10" t="str">
        <x:v>Package portable SFT datasets</x:v>
      </x:c>
      <x:c r="C52" s="10" t="str">
        <x:v>AI</x:v>
      </x:c>
      <x:c r="D52" s="10" t="n">
        <x:f>ROUNDUP('Tasks'!K52/5,0)</x:f>
        <x:v>22</x:v>
      </x:c>
      <x:c r="E52" s="10" t="n">
        <x:f>ROUNDUP('Tasks'!L52/5,0)</x:f>
        <x:v>22</x:v>
      </x:c>
      <x:c r="F52" s="10" t="str">
        <x:f>'Tasks'!R52</x:f>
        <x:v>Not started</x:v>
      </x:c>
      <x:c r="G52" s="35" t="n">
        <x:f>'Tasks'!S52</x:f>
        <x:v>0</x:v>
      </x:c>
      <x:c r="H52" s="36" t="n">
        <x:f>IF(AND(H$5&gt;=$D52,H$5&lt;=$E52),1,0)</x:f>
        <x:v>0</x:v>
      </x:c>
      <x:c r="I52" s="36" t="n">
        <x:f>IF(AND(I$5&gt;=$D52,I$5&lt;=$E52),1,0)</x:f>
        <x:v>0</x:v>
      </x:c>
      <x:c r="J52" s="36" t="n">
        <x:f>IF(AND(J$5&gt;=$D52,J$5&lt;=$E52),1,0)</x:f>
        <x:v>0</x:v>
      </x:c>
      <x:c r="K52" s="36" t="n">
        <x:f>IF(AND(K$5&gt;=$D52,K$5&lt;=$E52),1,0)</x:f>
        <x:v>0</x:v>
      </x:c>
      <x:c r="L52" s="36" t="n">
        <x:f>IF(AND(L$5&gt;=$D52,L$5&lt;=$E52),1,0)</x:f>
        <x:v>0</x:v>
      </x:c>
      <x:c r="M52" s="36" t="n">
        <x:f>IF(AND(M$5&gt;=$D52,M$5&lt;=$E52),1,0)</x:f>
        <x:v>0</x:v>
      </x:c>
      <x:c r="N52" s="36" t="n">
        <x:f>IF(AND(N$5&gt;=$D52,N$5&lt;=$E52),1,0)</x:f>
        <x:v>0</x:v>
      </x:c>
      <x:c r="O52" s="36" t="n">
        <x:f>IF(AND(O$5&gt;=$D52,O$5&lt;=$E52),1,0)</x:f>
        <x:v>0</x:v>
      </x:c>
      <x:c r="P52" s="36" t="n">
        <x:f>IF(AND(P$5&gt;=$D52,P$5&lt;=$E52),1,0)</x:f>
        <x:v>0</x:v>
      </x:c>
      <x:c r="Q52" s="36" t="n">
        <x:f>IF(AND(Q$5&gt;=$D52,Q$5&lt;=$E52),1,0)</x:f>
        <x:v>0</x:v>
      </x:c>
      <x:c r="R52" s="36" t="n">
        <x:f>IF(AND(R$5&gt;=$D52,R$5&lt;=$E52),1,0)</x:f>
        <x:v>0</x:v>
      </x:c>
      <x:c r="S52" s="36" t="n">
        <x:f>IF(AND(S$5&gt;=$D52,S$5&lt;=$E52),1,0)</x:f>
        <x:v>0</x:v>
      </x:c>
      <x:c r="T52" s="36" t="n">
        <x:f>IF(AND(T$5&gt;=$D52,T$5&lt;=$E52),1,0)</x:f>
        <x:v>0</x:v>
      </x:c>
      <x:c r="U52" s="36" t="n">
        <x:f>IF(AND(U$5&gt;=$D52,U$5&lt;=$E52),1,0)</x:f>
        <x:v>0</x:v>
      </x:c>
      <x:c r="V52" s="36" t="n">
        <x:f>IF(AND(V$5&gt;=$D52,V$5&lt;=$E52),1,0)</x:f>
        <x:v>0</x:v>
      </x:c>
      <x:c r="W52" s="36" t="n">
        <x:f>IF(AND(W$5&gt;=$D52,W$5&lt;=$E52),1,0)</x:f>
        <x:v>0</x:v>
      </x:c>
      <x:c r="X52" s="36" t="n">
        <x:f>IF(AND(X$5&gt;=$D52,X$5&lt;=$E52),1,0)</x:f>
        <x:v>0</x:v>
      </x:c>
      <x:c r="Y52" s="36" t="n">
        <x:f>IF(AND(Y$5&gt;=$D52,Y$5&lt;=$E52),1,0)</x:f>
        <x:v>0</x:v>
      </x:c>
      <x:c r="Z52" s="36" t="n">
        <x:f>IF(AND(Z$5&gt;=$D52,Z$5&lt;=$E52),1,0)</x:f>
        <x:v>0</x:v>
      </x:c>
      <x:c r="AA52" s="36" t="n">
        <x:f>IF(AND(AA$5&gt;=$D52,AA$5&lt;=$E52),1,0)</x:f>
        <x:v>0</x:v>
      </x:c>
      <x:c r="AB52" s="36" t="n">
        <x:f>IF(AND(AB$5&gt;=$D52,AB$5&lt;=$E52),1,0)</x:f>
        <x:v>0</x:v>
      </x:c>
      <x:c r="AC52" s="36" t="n">
        <x:f>IF(AND(AC$5&gt;=$D52,AC$5&lt;=$E52),1,0)</x:f>
        <x:v>1</x:v>
      </x:c>
      <x:c r="AD52" s="36" t="n">
        <x:f>IF(AND(AD$5&gt;=$D52,AD$5&lt;=$E52),1,0)</x:f>
        <x:v>0</x:v>
      </x:c>
      <x:c r="AE52" s="36" t="n">
        <x:f>IF(AND(AE$5&gt;=$D52,AE$5&lt;=$E52),1,0)</x:f>
        <x:v>0</x:v>
      </x:c>
      <x:c r="AF52" s="36" t="n">
        <x:f>IF(AND(AF$5&gt;=$D52,AF$5&lt;=$E52),1,0)</x:f>
        <x:v>0</x:v>
      </x:c>
      <x:c r="AG52" s="36" t="n">
        <x:f>IF(AND(AG$5&gt;=$D52,AG$5&lt;=$E52),1,0)</x:f>
        <x:v>0</x:v>
      </x:c>
      <x:c r="AH52" s="36" t="n">
        <x:f>IF(AND(AH$5&gt;=$D52,AH$5&lt;=$E52),1,0)</x:f>
        <x:v>0</x:v>
      </x:c>
      <x:c r="AI52" s="36" t="n">
        <x:f>IF(AND(AI$5&gt;=$D52,AI$5&lt;=$E52),1,0)</x:f>
        <x:v>0</x:v>
      </x:c>
      <x:c r="AJ52" s="36" t="n">
        <x:f>IF(AND(AJ$5&gt;=$D52,AJ$5&lt;=$E52),1,0)</x:f>
        <x:v>0</x:v>
      </x:c>
      <x:c r="AK52" s="36" t="n">
        <x:f>IF(AND(AK$5&gt;=$D52,AK$5&lt;=$E52),1,0)</x:f>
        <x:v>0</x:v>
      </x:c>
      <x:c r="AL52" s="36" t="n">
        <x:f>IF(AND(AL$5&gt;=$D52,AL$5&lt;=$E52),1,0)</x:f>
        <x:v>0</x:v>
      </x:c>
      <x:c r="AM52" s="36" t="n">
        <x:f>IF(AND(AM$5&gt;=$D52,AM$5&lt;=$E52),1,0)</x:f>
        <x:v>0</x:v>
      </x:c>
      <x:c r="AN52" s="36" t="n">
        <x:f>IF(AND(AN$5&gt;=$D52,AN$5&lt;=$E52),1,0)</x:f>
        <x:v>0</x:v>
      </x:c>
      <x:c r="AO52" s="36" t="n">
        <x:f>IF(AND(AO$5&gt;=$D52,AO$5&lt;=$E52),1,0)</x:f>
        <x:v>0</x:v>
      </x:c>
      <x:c r="AP52" s="36" t="n">
        <x:f>IF(AND(AP$5&gt;=$D52,AP$5&lt;=$E52),1,0)</x:f>
        <x:v>0</x:v>
      </x:c>
      <x:c r="AQ52" s="36" t="n">
        <x:f>IF(AND(AQ$5&gt;=$D52,AQ$5&lt;=$E52),1,0)</x:f>
        <x:v>0</x:v>
      </x:c>
    </x:row>
    <x:row r="53" ht="38" customHeight="1">
      <x:c r="A53" s="9" t="str">
        <x:v>F03</x:v>
      </x:c>
      <x:c r="B53" s="9" t="str">
        <x:v>Implement processor and token preflight</x:v>
      </x:c>
      <x:c r="C53" s="9" t="str">
        <x:v>AI</x:v>
      </x:c>
      <x:c r="D53" s="9" t="n">
        <x:f>ROUNDUP('Tasks'!K53/5,0)</x:f>
        <x:v>13</x:v>
      </x:c>
      <x:c r="E53" s="9" t="n">
        <x:f>ROUNDUP('Tasks'!L53/5,0)</x:f>
        <x:v>13</x:v>
      </x:c>
      <x:c r="F53" s="9" t="str">
        <x:f>'Tasks'!R53</x:f>
        <x:v>Not started</x:v>
      </x:c>
      <x:c r="G53" s="37" t="n">
        <x:f>'Tasks'!S53</x:f>
        <x:v>0</x:v>
      </x:c>
      <x:c r="H53" s="38" t="n">
        <x:f>IF(AND(H$5&gt;=$D53,H$5&lt;=$E53),1,0)</x:f>
        <x:v>0</x:v>
      </x:c>
      <x:c r="I53" s="38" t="n">
        <x:f>IF(AND(I$5&gt;=$D53,I$5&lt;=$E53),1,0)</x:f>
        <x:v>0</x:v>
      </x:c>
      <x:c r="J53" s="38" t="n">
        <x:f>IF(AND(J$5&gt;=$D53,J$5&lt;=$E53),1,0)</x:f>
        <x:v>0</x:v>
      </x:c>
      <x:c r="K53" s="38" t="n">
        <x:f>IF(AND(K$5&gt;=$D53,K$5&lt;=$E53),1,0)</x:f>
        <x:v>0</x:v>
      </x:c>
      <x:c r="L53" s="38" t="n">
        <x:f>IF(AND(L$5&gt;=$D53,L$5&lt;=$E53),1,0)</x:f>
        <x:v>0</x:v>
      </x:c>
      <x:c r="M53" s="38" t="n">
        <x:f>IF(AND(M$5&gt;=$D53,M$5&lt;=$E53),1,0)</x:f>
        <x:v>0</x:v>
      </x:c>
      <x:c r="N53" s="38" t="n">
        <x:f>IF(AND(N$5&gt;=$D53,N$5&lt;=$E53),1,0)</x:f>
        <x:v>0</x:v>
      </x:c>
      <x:c r="O53" s="38" t="n">
        <x:f>IF(AND(O$5&gt;=$D53,O$5&lt;=$E53),1,0)</x:f>
        <x:v>0</x:v>
      </x:c>
      <x:c r="P53" s="38" t="n">
        <x:f>IF(AND(P$5&gt;=$D53,P$5&lt;=$E53),1,0)</x:f>
        <x:v>0</x:v>
      </x:c>
      <x:c r="Q53" s="38" t="n">
        <x:f>IF(AND(Q$5&gt;=$D53,Q$5&lt;=$E53),1,0)</x:f>
        <x:v>0</x:v>
      </x:c>
      <x:c r="R53" s="38" t="n">
        <x:f>IF(AND(R$5&gt;=$D53,R$5&lt;=$E53),1,0)</x:f>
        <x:v>0</x:v>
      </x:c>
      <x:c r="S53" s="38" t="n">
        <x:f>IF(AND(S$5&gt;=$D53,S$5&lt;=$E53),1,0)</x:f>
        <x:v>0</x:v>
      </x:c>
      <x:c r="T53" s="38" t="n">
        <x:f>IF(AND(T$5&gt;=$D53,T$5&lt;=$E53),1,0)</x:f>
        <x:v>1</x:v>
      </x:c>
      <x:c r="U53" s="38" t="n">
        <x:f>IF(AND(U$5&gt;=$D53,U$5&lt;=$E53),1,0)</x:f>
        <x:v>0</x:v>
      </x:c>
      <x:c r="V53" s="38" t="n">
        <x:f>IF(AND(V$5&gt;=$D53,V$5&lt;=$E53),1,0)</x:f>
        <x:v>0</x:v>
      </x:c>
      <x:c r="W53" s="38" t="n">
        <x:f>IF(AND(W$5&gt;=$D53,W$5&lt;=$E53),1,0)</x:f>
        <x:v>0</x:v>
      </x:c>
      <x:c r="X53" s="38" t="n">
        <x:f>IF(AND(X$5&gt;=$D53,X$5&lt;=$E53),1,0)</x:f>
        <x:v>0</x:v>
      </x:c>
      <x:c r="Y53" s="38" t="n">
        <x:f>IF(AND(Y$5&gt;=$D53,Y$5&lt;=$E53),1,0)</x:f>
        <x:v>0</x:v>
      </x:c>
      <x:c r="Z53" s="38" t="n">
        <x:f>IF(AND(Z$5&gt;=$D53,Z$5&lt;=$E53),1,0)</x:f>
        <x:v>0</x:v>
      </x:c>
      <x:c r="AA53" s="38" t="n">
        <x:f>IF(AND(AA$5&gt;=$D53,AA$5&lt;=$E53),1,0)</x:f>
        <x:v>0</x:v>
      </x:c>
      <x:c r="AB53" s="38" t="n">
        <x:f>IF(AND(AB$5&gt;=$D53,AB$5&lt;=$E53),1,0)</x:f>
        <x:v>0</x:v>
      </x:c>
      <x:c r="AC53" s="38" t="n">
        <x:f>IF(AND(AC$5&gt;=$D53,AC$5&lt;=$E53),1,0)</x:f>
        <x:v>0</x:v>
      </x:c>
      <x:c r="AD53" s="38" t="n">
        <x:f>IF(AND(AD$5&gt;=$D53,AD$5&lt;=$E53),1,0)</x:f>
        <x:v>0</x:v>
      </x:c>
      <x:c r="AE53" s="38" t="n">
        <x:f>IF(AND(AE$5&gt;=$D53,AE$5&lt;=$E53),1,0)</x:f>
        <x:v>0</x:v>
      </x:c>
      <x:c r="AF53" s="38" t="n">
        <x:f>IF(AND(AF$5&gt;=$D53,AF$5&lt;=$E53),1,0)</x:f>
        <x:v>0</x:v>
      </x:c>
      <x:c r="AG53" s="38" t="n">
        <x:f>IF(AND(AG$5&gt;=$D53,AG$5&lt;=$E53),1,0)</x:f>
        <x:v>0</x:v>
      </x:c>
      <x:c r="AH53" s="38" t="n">
        <x:f>IF(AND(AH$5&gt;=$D53,AH$5&lt;=$E53),1,0)</x:f>
        <x:v>0</x:v>
      </x:c>
      <x:c r="AI53" s="38" t="n">
        <x:f>IF(AND(AI$5&gt;=$D53,AI$5&lt;=$E53),1,0)</x:f>
        <x:v>0</x:v>
      </x:c>
      <x:c r="AJ53" s="38" t="n">
        <x:f>IF(AND(AJ$5&gt;=$D53,AJ$5&lt;=$E53),1,0)</x:f>
        <x:v>0</x:v>
      </x:c>
      <x:c r="AK53" s="38" t="n">
        <x:f>IF(AND(AK$5&gt;=$D53,AK$5&lt;=$E53),1,0)</x:f>
        <x:v>0</x:v>
      </x:c>
      <x:c r="AL53" s="38" t="n">
        <x:f>IF(AND(AL$5&gt;=$D53,AL$5&lt;=$E53),1,0)</x:f>
        <x:v>0</x:v>
      </x:c>
      <x:c r="AM53" s="38" t="n">
        <x:f>IF(AND(AM$5&gt;=$D53,AM$5&lt;=$E53),1,0)</x:f>
        <x:v>0</x:v>
      </x:c>
      <x:c r="AN53" s="38" t="n">
        <x:f>IF(AND(AN$5&gt;=$D53,AN$5&lt;=$E53),1,0)</x:f>
        <x:v>0</x:v>
      </x:c>
      <x:c r="AO53" s="38" t="n">
        <x:f>IF(AND(AO$5&gt;=$D53,AO$5&lt;=$E53),1,0)</x:f>
        <x:v>0</x:v>
      </x:c>
      <x:c r="AP53" s="38" t="n">
        <x:f>IF(AND(AP$5&gt;=$D53,AP$5&lt;=$E53),1,0)</x:f>
        <x:v>0</x:v>
      </x:c>
      <x:c r="AQ53" s="38" t="n">
        <x:f>IF(AND(AQ$5&gt;=$D53,AQ$5&lt;=$E53),1,0)</x:f>
        <x:v>0</x:v>
      </x:c>
    </x:row>
    <x:row r="54" ht="38" customHeight="1">
      <x:c r="A54" s="10" t="str">
        <x:v>F04</x:v>
      </x:c>
      <x:c r="B54" s="10" t="str">
        <x:v>Set training configuration and tracking</x:v>
      </x:c>
      <x:c r="C54" s="10" t="str">
        <x:v>HP</x:v>
      </x:c>
      <x:c r="D54" s="10" t="n">
        <x:f>ROUNDUP('Tasks'!K54/5,0)</x:f>
        <x:v>14</x:v>
      </x:c>
      <x:c r="E54" s="10" t="n">
        <x:f>ROUNDUP('Tasks'!L54/5,0)</x:f>
        <x:v>14</x:v>
      </x:c>
      <x:c r="F54" s="10" t="str">
        <x:f>'Tasks'!R54</x:f>
        <x:v>Not started</x:v>
      </x:c>
      <x:c r="G54" s="35" t="n">
        <x:f>'Tasks'!S54</x:f>
        <x:v>0</x:v>
      </x:c>
      <x:c r="H54" s="36" t="n">
        <x:f>IF(AND(H$5&gt;=$D54,H$5&lt;=$E54),1,0)</x:f>
        <x:v>0</x:v>
      </x:c>
      <x:c r="I54" s="36" t="n">
        <x:f>IF(AND(I$5&gt;=$D54,I$5&lt;=$E54),1,0)</x:f>
        <x:v>0</x:v>
      </x:c>
      <x:c r="J54" s="36" t="n">
        <x:f>IF(AND(J$5&gt;=$D54,J$5&lt;=$E54),1,0)</x:f>
        <x:v>0</x:v>
      </x:c>
      <x:c r="K54" s="36" t="n">
        <x:f>IF(AND(K$5&gt;=$D54,K$5&lt;=$E54),1,0)</x:f>
        <x:v>0</x:v>
      </x:c>
      <x:c r="L54" s="36" t="n">
        <x:f>IF(AND(L$5&gt;=$D54,L$5&lt;=$E54),1,0)</x:f>
        <x:v>0</x:v>
      </x:c>
      <x:c r="M54" s="36" t="n">
        <x:f>IF(AND(M$5&gt;=$D54,M$5&lt;=$E54),1,0)</x:f>
        <x:v>0</x:v>
      </x:c>
      <x:c r="N54" s="36" t="n">
        <x:f>IF(AND(N$5&gt;=$D54,N$5&lt;=$E54),1,0)</x:f>
        <x:v>0</x:v>
      </x:c>
      <x:c r="O54" s="36" t="n">
        <x:f>IF(AND(O$5&gt;=$D54,O$5&lt;=$E54),1,0)</x:f>
        <x:v>0</x:v>
      </x:c>
      <x:c r="P54" s="36" t="n">
        <x:f>IF(AND(P$5&gt;=$D54,P$5&lt;=$E54),1,0)</x:f>
        <x:v>0</x:v>
      </x:c>
      <x:c r="Q54" s="36" t="n">
        <x:f>IF(AND(Q$5&gt;=$D54,Q$5&lt;=$E54),1,0)</x:f>
        <x:v>0</x:v>
      </x:c>
      <x:c r="R54" s="36" t="n">
        <x:f>IF(AND(R$5&gt;=$D54,R$5&lt;=$E54),1,0)</x:f>
        <x:v>0</x:v>
      </x:c>
      <x:c r="S54" s="36" t="n">
        <x:f>IF(AND(S$5&gt;=$D54,S$5&lt;=$E54),1,0)</x:f>
        <x:v>0</x:v>
      </x:c>
      <x:c r="T54" s="36" t="n">
        <x:f>IF(AND(T$5&gt;=$D54,T$5&lt;=$E54),1,0)</x:f>
        <x:v>0</x:v>
      </x:c>
      <x:c r="U54" s="36" t="n">
        <x:f>IF(AND(U$5&gt;=$D54,U$5&lt;=$E54),1,0)</x:f>
        <x:v>1</x:v>
      </x:c>
      <x:c r="V54" s="36" t="n">
        <x:f>IF(AND(V$5&gt;=$D54,V$5&lt;=$E54),1,0)</x:f>
        <x:v>0</x:v>
      </x:c>
      <x:c r="W54" s="36" t="n">
        <x:f>IF(AND(W$5&gt;=$D54,W$5&lt;=$E54),1,0)</x:f>
        <x:v>0</x:v>
      </x:c>
      <x:c r="X54" s="36" t="n">
        <x:f>IF(AND(X$5&gt;=$D54,X$5&lt;=$E54),1,0)</x:f>
        <x:v>0</x:v>
      </x:c>
      <x:c r="Y54" s="36" t="n">
        <x:f>IF(AND(Y$5&gt;=$D54,Y$5&lt;=$E54),1,0)</x:f>
        <x:v>0</x:v>
      </x:c>
      <x:c r="Z54" s="36" t="n">
        <x:f>IF(AND(Z$5&gt;=$D54,Z$5&lt;=$E54),1,0)</x:f>
        <x:v>0</x:v>
      </x:c>
      <x:c r="AA54" s="36" t="n">
        <x:f>IF(AND(AA$5&gt;=$D54,AA$5&lt;=$E54),1,0)</x:f>
        <x:v>0</x:v>
      </x:c>
      <x:c r="AB54" s="36" t="n">
        <x:f>IF(AND(AB$5&gt;=$D54,AB$5&lt;=$E54),1,0)</x:f>
        <x:v>0</x:v>
      </x:c>
      <x:c r="AC54" s="36" t="n">
        <x:f>IF(AND(AC$5&gt;=$D54,AC$5&lt;=$E54),1,0)</x:f>
        <x:v>0</x:v>
      </x:c>
      <x:c r="AD54" s="36" t="n">
        <x:f>IF(AND(AD$5&gt;=$D54,AD$5&lt;=$E54),1,0)</x:f>
        <x:v>0</x:v>
      </x:c>
      <x:c r="AE54" s="36" t="n">
        <x:f>IF(AND(AE$5&gt;=$D54,AE$5&lt;=$E54),1,0)</x:f>
        <x:v>0</x:v>
      </x:c>
      <x:c r="AF54" s="36" t="n">
        <x:f>IF(AND(AF$5&gt;=$D54,AF$5&lt;=$E54),1,0)</x:f>
        <x:v>0</x:v>
      </x:c>
      <x:c r="AG54" s="36" t="n">
        <x:f>IF(AND(AG$5&gt;=$D54,AG$5&lt;=$E54),1,0)</x:f>
        <x:v>0</x:v>
      </x:c>
      <x:c r="AH54" s="36" t="n">
        <x:f>IF(AND(AH$5&gt;=$D54,AH$5&lt;=$E54),1,0)</x:f>
        <x:v>0</x:v>
      </x:c>
      <x:c r="AI54" s="36" t="n">
        <x:f>IF(AND(AI$5&gt;=$D54,AI$5&lt;=$E54),1,0)</x:f>
        <x:v>0</x:v>
      </x:c>
      <x:c r="AJ54" s="36" t="n">
        <x:f>IF(AND(AJ$5&gt;=$D54,AJ$5&lt;=$E54),1,0)</x:f>
        <x:v>0</x:v>
      </x:c>
      <x:c r="AK54" s="36" t="n">
        <x:f>IF(AND(AK$5&gt;=$D54,AK$5&lt;=$E54),1,0)</x:f>
        <x:v>0</x:v>
      </x:c>
      <x:c r="AL54" s="36" t="n">
        <x:f>IF(AND(AL$5&gt;=$D54,AL$5&lt;=$E54),1,0)</x:f>
        <x:v>0</x:v>
      </x:c>
      <x:c r="AM54" s="36" t="n">
        <x:f>IF(AND(AM$5&gt;=$D54,AM$5&lt;=$E54),1,0)</x:f>
        <x:v>0</x:v>
      </x:c>
      <x:c r="AN54" s="36" t="n">
        <x:f>IF(AND(AN$5&gt;=$D54,AN$5&lt;=$E54),1,0)</x:f>
        <x:v>0</x:v>
      </x:c>
      <x:c r="AO54" s="36" t="n">
        <x:f>IF(AND(AO$5&gt;=$D54,AO$5&lt;=$E54),1,0)</x:f>
        <x:v>0</x:v>
      </x:c>
      <x:c r="AP54" s="36" t="n">
        <x:f>IF(AND(AP$5&gt;=$D54,AP$5&lt;=$E54),1,0)</x:f>
        <x:v>0</x:v>
      </x:c>
      <x:c r="AQ54" s="36" t="n">
        <x:f>IF(AND(AQ$5&gt;=$D54,AQ$5&lt;=$E54),1,0)</x:f>
        <x:v>0</x:v>
      </x:c>
    </x:row>
    <x:row r="55" ht="38" customHeight="1">
      <x:c r="A55" s="9" t="str">
        <x:v>F05</x:v>
      </x:c>
      <x:c r="B55" s="9" t="str">
        <x:v>Run pilot adapter learning curve</x:v>
      </x:c>
      <x:c r="C55" s="9" t="str">
        <x:v>AI</x:v>
      </x:c>
      <x:c r="D55" s="9" t="n">
        <x:f>ROUNDUP('Tasks'!K55/5,0)</x:f>
        <x:v>14</x:v>
      </x:c>
      <x:c r="E55" s="9" t="n">
        <x:f>ROUNDUP('Tasks'!L55/5,0)</x:f>
        <x:v>15</x:v>
      </x:c>
      <x:c r="F55" s="9" t="str">
        <x:f>'Tasks'!R55</x:f>
        <x:v>Not started</x:v>
      </x:c>
      <x:c r="G55" s="37" t="n">
        <x:f>'Tasks'!S55</x:f>
        <x:v>0</x:v>
      </x:c>
      <x:c r="H55" s="38" t="n">
        <x:f>IF(AND(H$5&gt;=$D55,H$5&lt;=$E55),1,0)</x:f>
        <x:v>0</x:v>
      </x:c>
      <x:c r="I55" s="38" t="n">
        <x:f>IF(AND(I$5&gt;=$D55,I$5&lt;=$E55),1,0)</x:f>
        <x:v>0</x:v>
      </x:c>
      <x:c r="J55" s="38" t="n">
        <x:f>IF(AND(J$5&gt;=$D55,J$5&lt;=$E55),1,0)</x:f>
        <x:v>0</x:v>
      </x:c>
      <x:c r="K55" s="38" t="n">
        <x:f>IF(AND(K$5&gt;=$D55,K$5&lt;=$E55),1,0)</x:f>
        <x:v>0</x:v>
      </x:c>
      <x:c r="L55" s="38" t="n">
        <x:f>IF(AND(L$5&gt;=$D55,L$5&lt;=$E55),1,0)</x:f>
        <x:v>0</x:v>
      </x:c>
      <x:c r="M55" s="38" t="n">
        <x:f>IF(AND(M$5&gt;=$D55,M$5&lt;=$E55),1,0)</x:f>
        <x:v>0</x:v>
      </x:c>
      <x:c r="N55" s="38" t="n">
        <x:f>IF(AND(N$5&gt;=$D55,N$5&lt;=$E55),1,0)</x:f>
        <x:v>0</x:v>
      </x:c>
      <x:c r="O55" s="38" t="n">
        <x:f>IF(AND(O$5&gt;=$D55,O$5&lt;=$E55),1,0)</x:f>
        <x:v>0</x:v>
      </x:c>
      <x:c r="P55" s="38" t="n">
        <x:f>IF(AND(P$5&gt;=$D55,P$5&lt;=$E55),1,0)</x:f>
        <x:v>0</x:v>
      </x:c>
      <x:c r="Q55" s="38" t="n">
        <x:f>IF(AND(Q$5&gt;=$D55,Q$5&lt;=$E55),1,0)</x:f>
        <x:v>0</x:v>
      </x:c>
      <x:c r="R55" s="38" t="n">
        <x:f>IF(AND(R$5&gt;=$D55,R$5&lt;=$E55),1,0)</x:f>
        <x:v>0</x:v>
      </x:c>
      <x:c r="S55" s="38" t="n">
        <x:f>IF(AND(S$5&gt;=$D55,S$5&lt;=$E55),1,0)</x:f>
        <x:v>0</x:v>
      </x:c>
      <x:c r="T55" s="38" t="n">
        <x:f>IF(AND(T$5&gt;=$D55,T$5&lt;=$E55),1,0)</x:f>
        <x:v>0</x:v>
      </x:c>
      <x:c r="U55" s="38" t="n">
        <x:f>IF(AND(U$5&gt;=$D55,U$5&lt;=$E55),1,0)</x:f>
        <x:v>1</x:v>
      </x:c>
      <x:c r="V55" s="38" t="n">
        <x:f>IF(AND(V$5&gt;=$D55,V$5&lt;=$E55),1,0)</x:f>
        <x:v>1</x:v>
      </x:c>
      <x:c r="W55" s="38" t="n">
        <x:f>IF(AND(W$5&gt;=$D55,W$5&lt;=$E55),1,0)</x:f>
        <x:v>0</x:v>
      </x:c>
      <x:c r="X55" s="38" t="n">
        <x:f>IF(AND(X$5&gt;=$D55,X$5&lt;=$E55),1,0)</x:f>
        <x:v>0</x:v>
      </x:c>
      <x:c r="Y55" s="38" t="n">
        <x:f>IF(AND(Y$5&gt;=$D55,Y$5&lt;=$E55),1,0)</x:f>
        <x:v>0</x:v>
      </x:c>
      <x:c r="Z55" s="38" t="n">
        <x:f>IF(AND(Z$5&gt;=$D55,Z$5&lt;=$E55),1,0)</x:f>
        <x:v>0</x:v>
      </x:c>
      <x:c r="AA55" s="38" t="n">
        <x:f>IF(AND(AA$5&gt;=$D55,AA$5&lt;=$E55),1,0)</x:f>
        <x:v>0</x:v>
      </x:c>
      <x:c r="AB55" s="38" t="n">
        <x:f>IF(AND(AB$5&gt;=$D55,AB$5&lt;=$E55),1,0)</x:f>
        <x:v>0</x:v>
      </x:c>
      <x:c r="AC55" s="38" t="n">
        <x:f>IF(AND(AC$5&gt;=$D55,AC$5&lt;=$E55),1,0)</x:f>
        <x:v>0</x:v>
      </x:c>
      <x:c r="AD55" s="38" t="n">
        <x:f>IF(AND(AD$5&gt;=$D55,AD$5&lt;=$E55),1,0)</x:f>
        <x:v>0</x:v>
      </x:c>
      <x:c r="AE55" s="38" t="n">
        <x:f>IF(AND(AE$5&gt;=$D55,AE$5&lt;=$E55),1,0)</x:f>
        <x:v>0</x:v>
      </x:c>
      <x:c r="AF55" s="38" t="n">
        <x:f>IF(AND(AF$5&gt;=$D55,AF$5&lt;=$E55),1,0)</x:f>
        <x:v>0</x:v>
      </x:c>
      <x:c r="AG55" s="38" t="n">
        <x:f>IF(AND(AG$5&gt;=$D55,AG$5&lt;=$E55),1,0)</x:f>
        <x:v>0</x:v>
      </x:c>
      <x:c r="AH55" s="38" t="n">
        <x:f>IF(AND(AH$5&gt;=$D55,AH$5&lt;=$E55),1,0)</x:f>
        <x:v>0</x:v>
      </x:c>
      <x:c r="AI55" s="38" t="n">
        <x:f>IF(AND(AI$5&gt;=$D55,AI$5&lt;=$E55),1,0)</x:f>
        <x:v>0</x:v>
      </x:c>
      <x:c r="AJ55" s="38" t="n">
        <x:f>IF(AND(AJ$5&gt;=$D55,AJ$5&lt;=$E55),1,0)</x:f>
        <x:v>0</x:v>
      </x:c>
      <x:c r="AK55" s="38" t="n">
        <x:f>IF(AND(AK$5&gt;=$D55,AK$5&lt;=$E55),1,0)</x:f>
        <x:v>0</x:v>
      </x:c>
      <x:c r="AL55" s="38" t="n">
        <x:f>IF(AND(AL$5&gt;=$D55,AL$5&lt;=$E55),1,0)</x:f>
        <x:v>0</x:v>
      </x:c>
      <x:c r="AM55" s="38" t="n">
        <x:f>IF(AND(AM$5&gt;=$D55,AM$5&lt;=$E55),1,0)</x:f>
        <x:v>0</x:v>
      </x:c>
      <x:c r="AN55" s="38" t="n">
        <x:f>IF(AND(AN$5&gt;=$D55,AN$5&lt;=$E55),1,0)</x:f>
        <x:v>0</x:v>
      </x:c>
      <x:c r="AO55" s="38" t="n">
        <x:f>IF(AND(AO$5&gt;=$D55,AO$5&lt;=$E55),1,0)</x:f>
        <x:v>0</x:v>
      </x:c>
      <x:c r="AP55" s="38" t="n">
        <x:f>IF(AND(AP$5&gt;=$D55,AP$5&lt;=$E55),1,0)</x:f>
        <x:v>0</x:v>
      </x:c>
      <x:c r="AQ55" s="38" t="n">
        <x:f>IF(AND(AQ$5&gt;=$D55,AQ$5&lt;=$E55),1,0)</x:f>
        <x:v>0</x:v>
      </x:c>
    </x:row>
    <x:row r="56" ht="38" customHeight="1">
      <x:c r="A56" s="10" t="str">
        <x:v>F06</x:v>
      </x:c>
      <x:c r="B56" s="10" t="str">
        <x:v>Tune bounded development configurations</x:v>
      </x:c>
      <x:c r="C56" s="10" t="str">
        <x:v>AI</x:v>
      </x:c>
      <x:c r="D56" s="10" t="n">
        <x:f>ROUNDUP('Tasks'!K56/5,0)</x:f>
        <x:v>17</x:v>
      </x:c>
      <x:c r="E56" s="10" t="n">
        <x:f>ROUNDUP('Tasks'!L56/5,0)</x:f>
        <x:v>20</x:v>
      </x:c>
      <x:c r="F56" s="10" t="str">
        <x:f>'Tasks'!R56</x:f>
        <x:v>Not started</x:v>
      </x:c>
      <x:c r="G56" s="35" t="n">
        <x:f>'Tasks'!S56</x:f>
        <x:v>0</x:v>
      </x:c>
      <x:c r="H56" s="36" t="n">
        <x:f>IF(AND(H$5&gt;=$D56,H$5&lt;=$E56),1,0)</x:f>
        <x:v>0</x:v>
      </x:c>
      <x:c r="I56" s="36" t="n">
        <x:f>IF(AND(I$5&gt;=$D56,I$5&lt;=$E56),1,0)</x:f>
        <x:v>0</x:v>
      </x:c>
      <x:c r="J56" s="36" t="n">
        <x:f>IF(AND(J$5&gt;=$D56,J$5&lt;=$E56),1,0)</x:f>
        <x:v>0</x:v>
      </x:c>
      <x:c r="K56" s="36" t="n">
        <x:f>IF(AND(K$5&gt;=$D56,K$5&lt;=$E56),1,0)</x:f>
        <x:v>0</x:v>
      </x:c>
      <x:c r="L56" s="36" t="n">
        <x:f>IF(AND(L$5&gt;=$D56,L$5&lt;=$E56),1,0)</x:f>
        <x:v>0</x:v>
      </x:c>
      <x:c r="M56" s="36" t="n">
        <x:f>IF(AND(M$5&gt;=$D56,M$5&lt;=$E56),1,0)</x:f>
        <x:v>0</x:v>
      </x:c>
      <x:c r="N56" s="36" t="n">
        <x:f>IF(AND(N$5&gt;=$D56,N$5&lt;=$E56),1,0)</x:f>
        <x:v>0</x:v>
      </x:c>
      <x:c r="O56" s="36" t="n">
        <x:f>IF(AND(O$5&gt;=$D56,O$5&lt;=$E56),1,0)</x:f>
        <x:v>0</x:v>
      </x:c>
      <x:c r="P56" s="36" t="n">
        <x:f>IF(AND(P$5&gt;=$D56,P$5&lt;=$E56),1,0)</x:f>
        <x:v>0</x:v>
      </x:c>
      <x:c r="Q56" s="36" t="n">
        <x:f>IF(AND(Q$5&gt;=$D56,Q$5&lt;=$E56),1,0)</x:f>
        <x:v>0</x:v>
      </x:c>
      <x:c r="R56" s="36" t="n">
        <x:f>IF(AND(R$5&gt;=$D56,R$5&lt;=$E56),1,0)</x:f>
        <x:v>0</x:v>
      </x:c>
      <x:c r="S56" s="36" t="n">
        <x:f>IF(AND(S$5&gt;=$D56,S$5&lt;=$E56),1,0)</x:f>
        <x:v>0</x:v>
      </x:c>
      <x:c r="T56" s="36" t="n">
        <x:f>IF(AND(T$5&gt;=$D56,T$5&lt;=$E56),1,0)</x:f>
        <x:v>0</x:v>
      </x:c>
      <x:c r="U56" s="36" t="n">
        <x:f>IF(AND(U$5&gt;=$D56,U$5&lt;=$E56),1,0)</x:f>
        <x:v>0</x:v>
      </x:c>
      <x:c r="V56" s="36" t="n">
        <x:f>IF(AND(V$5&gt;=$D56,V$5&lt;=$E56),1,0)</x:f>
        <x:v>0</x:v>
      </x:c>
      <x:c r="W56" s="36" t="n">
        <x:f>IF(AND(W$5&gt;=$D56,W$5&lt;=$E56),1,0)</x:f>
        <x:v>0</x:v>
      </x:c>
      <x:c r="X56" s="36" t="n">
        <x:f>IF(AND(X$5&gt;=$D56,X$5&lt;=$E56),1,0)</x:f>
        <x:v>1</x:v>
      </x:c>
      <x:c r="Y56" s="36" t="n">
        <x:f>IF(AND(Y$5&gt;=$D56,Y$5&lt;=$E56),1,0)</x:f>
        <x:v>1</x:v>
      </x:c>
      <x:c r="Z56" s="36" t="n">
        <x:f>IF(AND(Z$5&gt;=$D56,Z$5&lt;=$E56),1,0)</x:f>
        <x:v>1</x:v>
      </x:c>
      <x:c r="AA56" s="36" t="n">
        <x:f>IF(AND(AA$5&gt;=$D56,AA$5&lt;=$E56),1,0)</x:f>
        <x:v>1</x:v>
      </x:c>
      <x:c r="AB56" s="36" t="n">
        <x:f>IF(AND(AB$5&gt;=$D56,AB$5&lt;=$E56),1,0)</x:f>
        <x:v>0</x:v>
      </x:c>
      <x:c r="AC56" s="36" t="n">
        <x:f>IF(AND(AC$5&gt;=$D56,AC$5&lt;=$E56),1,0)</x:f>
        <x:v>0</x:v>
      </x:c>
      <x:c r="AD56" s="36" t="n">
        <x:f>IF(AND(AD$5&gt;=$D56,AD$5&lt;=$E56),1,0)</x:f>
        <x:v>0</x:v>
      </x:c>
      <x:c r="AE56" s="36" t="n">
        <x:f>IF(AND(AE$5&gt;=$D56,AE$5&lt;=$E56),1,0)</x:f>
        <x:v>0</x:v>
      </x:c>
      <x:c r="AF56" s="36" t="n">
        <x:f>IF(AND(AF$5&gt;=$D56,AF$5&lt;=$E56),1,0)</x:f>
        <x:v>0</x:v>
      </x:c>
      <x:c r="AG56" s="36" t="n">
        <x:f>IF(AND(AG$5&gt;=$D56,AG$5&lt;=$E56),1,0)</x:f>
        <x:v>0</x:v>
      </x:c>
      <x:c r="AH56" s="36" t="n">
        <x:f>IF(AND(AH$5&gt;=$D56,AH$5&lt;=$E56),1,0)</x:f>
        <x:v>0</x:v>
      </x:c>
      <x:c r="AI56" s="36" t="n">
        <x:f>IF(AND(AI$5&gt;=$D56,AI$5&lt;=$E56),1,0)</x:f>
        <x:v>0</x:v>
      </x:c>
      <x:c r="AJ56" s="36" t="n">
        <x:f>IF(AND(AJ$5&gt;=$D56,AJ$5&lt;=$E56),1,0)</x:f>
        <x:v>0</x:v>
      </x:c>
      <x:c r="AK56" s="36" t="n">
        <x:f>IF(AND(AK$5&gt;=$D56,AK$5&lt;=$E56),1,0)</x:f>
        <x:v>0</x:v>
      </x:c>
      <x:c r="AL56" s="36" t="n">
        <x:f>IF(AND(AL$5&gt;=$D56,AL$5&lt;=$E56),1,0)</x:f>
        <x:v>0</x:v>
      </x:c>
      <x:c r="AM56" s="36" t="n">
        <x:f>IF(AND(AM$5&gt;=$D56,AM$5&lt;=$E56),1,0)</x:f>
        <x:v>0</x:v>
      </x:c>
      <x:c r="AN56" s="36" t="n">
        <x:f>IF(AND(AN$5&gt;=$D56,AN$5&lt;=$E56),1,0)</x:f>
        <x:v>0</x:v>
      </x:c>
      <x:c r="AO56" s="36" t="n">
        <x:f>IF(AND(AO$5&gt;=$D56,AO$5&lt;=$E56),1,0)</x:f>
        <x:v>0</x:v>
      </x:c>
      <x:c r="AP56" s="36" t="n">
        <x:f>IF(AND(AP$5&gt;=$D56,AP$5&lt;=$E56),1,0)</x:f>
        <x:v>0</x:v>
      </x:c>
      <x:c r="AQ56" s="36" t="n">
        <x:f>IF(AND(AQ$5&gt;=$D56,AQ$5&lt;=$E56),1,0)</x:f>
        <x:v>0</x:v>
      </x:c>
    </x:row>
    <x:row r="57" ht="38" customHeight="1">
      <x:c r="A57" s="9" t="str">
        <x:v>F07</x:v>
      </x:c>
      <x:c r="B57" s="9" t="str">
        <x:v>Train final adapter and seed repeats</x:v>
      </x:c>
      <x:c r="C57" s="9" t="str">
        <x:v>AI</x:v>
      </x:c>
      <x:c r="D57" s="9" t="n">
        <x:f>ROUNDUP('Tasks'!K57/5,0)</x:f>
        <x:v>22</x:v>
      </x:c>
      <x:c r="E57" s="9" t="n">
        <x:f>ROUNDUP('Tasks'!L57/5,0)</x:f>
        <x:v>23</x:v>
      </x:c>
      <x:c r="F57" s="9" t="str">
        <x:f>'Tasks'!R57</x:f>
        <x:v>Not started</x:v>
      </x:c>
      <x:c r="G57" s="37" t="n">
        <x:f>'Tasks'!S57</x:f>
        <x:v>0</x:v>
      </x:c>
      <x:c r="H57" s="38" t="n">
        <x:f>IF(AND(H$5&gt;=$D57,H$5&lt;=$E57),1,0)</x:f>
        <x:v>0</x:v>
      </x:c>
      <x:c r="I57" s="38" t="n">
        <x:f>IF(AND(I$5&gt;=$D57,I$5&lt;=$E57),1,0)</x:f>
        <x:v>0</x:v>
      </x:c>
      <x:c r="J57" s="38" t="n">
        <x:f>IF(AND(J$5&gt;=$D57,J$5&lt;=$E57),1,0)</x:f>
        <x:v>0</x:v>
      </x:c>
      <x:c r="K57" s="38" t="n">
        <x:f>IF(AND(K$5&gt;=$D57,K$5&lt;=$E57),1,0)</x:f>
        <x:v>0</x:v>
      </x:c>
      <x:c r="L57" s="38" t="n">
        <x:f>IF(AND(L$5&gt;=$D57,L$5&lt;=$E57),1,0)</x:f>
        <x:v>0</x:v>
      </x:c>
      <x:c r="M57" s="38" t="n">
        <x:f>IF(AND(M$5&gt;=$D57,M$5&lt;=$E57),1,0)</x:f>
        <x:v>0</x:v>
      </x:c>
      <x:c r="N57" s="38" t="n">
        <x:f>IF(AND(N$5&gt;=$D57,N$5&lt;=$E57),1,0)</x:f>
        <x:v>0</x:v>
      </x:c>
      <x:c r="O57" s="38" t="n">
        <x:f>IF(AND(O$5&gt;=$D57,O$5&lt;=$E57),1,0)</x:f>
        <x:v>0</x:v>
      </x:c>
      <x:c r="P57" s="38" t="n">
        <x:f>IF(AND(P$5&gt;=$D57,P$5&lt;=$E57),1,0)</x:f>
        <x:v>0</x:v>
      </x:c>
      <x:c r="Q57" s="38" t="n">
        <x:f>IF(AND(Q$5&gt;=$D57,Q$5&lt;=$E57),1,0)</x:f>
        <x:v>0</x:v>
      </x:c>
      <x:c r="R57" s="38" t="n">
        <x:f>IF(AND(R$5&gt;=$D57,R$5&lt;=$E57),1,0)</x:f>
        <x:v>0</x:v>
      </x:c>
      <x:c r="S57" s="38" t="n">
        <x:f>IF(AND(S$5&gt;=$D57,S$5&lt;=$E57),1,0)</x:f>
        <x:v>0</x:v>
      </x:c>
      <x:c r="T57" s="38" t="n">
        <x:f>IF(AND(T$5&gt;=$D57,T$5&lt;=$E57),1,0)</x:f>
        <x:v>0</x:v>
      </x:c>
      <x:c r="U57" s="38" t="n">
        <x:f>IF(AND(U$5&gt;=$D57,U$5&lt;=$E57),1,0)</x:f>
        <x:v>0</x:v>
      </x:c>
      <x:c r="V57" s="38" t="n">
        <x:f>IF(AND(V$5&gt;=$D57,V$5&lt;=$E57),1,0)</x:f>
        <x:v>0</x:v>
      </x:c>
      <x:c r="W57" s="38" t="n">
        <x:f>IF(AND(W$5&gt;=$D57,W$5&lt;=$E57),1,0)</x:f>
        <x:v>0</x:v>
      </x:c>
      <x:c r="X57" s="38" t="n">
        <x:f>IF(AND(X$5&gt;=$D57,X$5&lt;=$E57),1,0)</x:f>
        <x:v>0</x:v>
      </x:c>
      <x:c r="Y57" s="38" t="n">
        <x:f>IF(AND(Y$5&gt;=$D57,Y$5&lt;=$E57),1,0)</x:f>
        <x:v>0</x:v>
      </x:c>
      <x:c r="Z57" s="38" t="n">
        <x:f>IF(AND(Z$5&gt;=$D57,Z$5&lt;=$E57),1,0)</x:f>
        <x:v>0</x:v>
      </x:c>
      <x:c r="AA57" s="38" t="n">
        <x:f>IF(AND(AA$5&gt;=$D57,AA$5&lt;=$E57),1,0)</x:f>
        <x:v>0</x:v>
      </x:c>
      <x:c r="AB57" s="38" t="n">
        <x:f>IF(AND(AB$5&gt;=$D57,AB$5&lt;=$E57),1,0)</x:f>
        <x:v>0</x:v>
      </x:c>
      <x:c r="AC57" s="38" t="n">
        <x:f>IF(AND(AC$5&gt;=$D57,AC$5&lt;=$E57),1,0)</x:f>
        <x:v>1</x:v>
      </x:c>
      <x:c r="AD57" s="38" t="n">
        <x:f>IF(AND(AD$5&gt;=$D57,AD$5&lt;=$E57),1,0)</x:f>
        <x:v>1</x:v>
      </x:c>
      <x:c r="AE57" s="38" t="n">
        <x:f>IF(AND(AE$5&gt;=$D57,AE$5&lt;=$E57),1,0)</x:f>
        <x:v>0</x:v>
      </x:c>
      <x:c r="AF57" s="38" t="n">
        <x:f>IF(AND(AF$5&gt;=$D57,AF$5&lt;=$E57),1,0)</x:f>
        <x:v>0</x:v>
      </x:c>
      <x:c r="AG57" s="38" t="n">
        <x:f>IF(AND(AG$5&gt;=$D57,AG$5&lt;=$E57),1,0)</x:f>
        <x:v>0</x:v>
      </x:c>
      <x:c r="AH57" s="38" t="n">
        <x:f>IF(AND(AH$5&gt;=$D57,AH$5&lt;=$E57),1,0)</x:f>
        <x:v>0</x:v>
      </x:c>
      <x:c r="AI57" s="38" t="n">
        <x:f>IF(AND(AI$5&gt;=$D57,AI$5&lt;=$E57),1,0)</x:f>
        <x:v>0</x:v>
      </x:c>
      <x:c r="AJ57" s="38" t="n">
        <x:f>IF(AND(AJ$5&gt;=$D57,AJ$5&lt;=$E57),1,0)</x:f>
        <x:v>0</x:v>
      </x:c>
      <x:c r="AK57" s="38" t="n">
        <x:f>IF(AND(AK$5&gt;=$D57,AK$5&lt;=$E57),1,0)</x:f>
        <x:v>0</x:v>
      </x:c>
      <x:c r="AL57" s="38" t="n">
        <x:f>IF(AND(AL$5&gt;=$D57,AL$5&lt;=$E57),1,0)</x:f>
        <x:v>0</x:v>
      </x:c>
      <x:c r="AM57" s="38" t="n">
        <x:f>IF(AND(AM$5&gt;=$D57,AM$5&lt;=$E57),1,0)</x:f>
        <x:v>0</x:v>
      </x:c>
      <x:c r="AN57" s="38" t="n">
        <x:f>IF(AND(AN$5&gt;=$D57,AN$5&lt;=$E57),1,0)</x:f>
        <x:v>0</x:v>
      </x:c>
      <x:c r="AO57" s="38" t="n">
        <x:f>IF(AND(AO$5&gt;=$D57,AO$5&lt;=$E57),1,0)</x:f>
        <x:v>0</x:v>
      </x:c>
      <x:c r="AP57" s="38" t="n">
        <x:f>IF(AND(AP$5&gt;=$D57,AP$5&lt;=$E57),1,0)</x:f>
        <x:v>0</x:v>
      </x:c>
      <x:c r="AQ57" s="38" t="n">
        <x:f>IF(AND(AQ$5&gt;=$D57,AQ$5&lt;=$E57),1,0)</x:f>
        <x:v>0</x:v>
      </x:c>
    </x:row>
    <x:row r="58" ht="38" customHeight="1">
      <x:c r="A58" s="10" t="str">
        <x:v>F08</x:v>
      </x:c>
      <x:c r="B58" s="10" t="str">
        <x:v>Export reload and compare tuned candidate</x:v>
      </x:c>
      <x:c r="C58" s="10" t="str">
        <x:v>AI</x:v>
      </x:c>
      <x:c r="D58" s="10" t="n">
        <x:f>ROUNDUP('Tasks'!K58/5,0)</x:f>
        <x:v>23</x:v>
      </x:c>
      <x:c r="E58" s="10" t="n">
        <x:f>ROUNDUP('Tasks'!L58/5,0)</x:f>
        <x:v>23</x:v>
      </x:c>
      <x:c r="F58" s="10" t="str">
        <x:f>'Tasks'!R58</x:f>
        <x:v>Not started</x:v>
      </x:c>
      <x:c r="G58" s="35" t="n">
        <x:f>'Tasks'!S58</x:f>
        <x:v>0</x:v>
      </x:c>
      <x:c r="H58" s="36" t="n">
        <x:f>IF(AND(H$5&gt;=$D58,H$5&lt;=$E58),1,0)</x:f>
        <x:v>0</x:v>
      </x:c>
      <x:c r="I58" s="36" t="n">
        <x:f>IF(AND(I$5&gt;=$D58,I$5&lt;=$E58),1,0)</x:f>
        <x:v>0</x:v>
      </x:c>
      <x:c r="J58" s="36" t="n">
        <x:f>IF(AND(J$5&gt;=$D58,J$5&lt;=$E58),1,0)</x:f>
        <x:v>0</x:v>
      </x:c>
      <x:c r="K58" s="36" t="n">
        <x:f>IF(AND(K$5&gt;=$D58,K$5&lt;=$E58),1,0)</x:f>
        <x:v>0</x:v>
      </x:c>
      <x:c r="L58" s="36" t="n">
        <x:f>IF(AND(L$5&gt;=$D58,L$5&lt;=$E58),1,0)</x:f>
        <x:v>0</x:v>
      </x:c>
      <x:c r="M58" s="36" t="n">
        <x:f>IF(AND(M$5&gt;=$D58,M$5&lt;=$E58),1,0)</x:f>
        <x:v>0</x:v>
      </x:c>
      <x:c r="N58" s="36" t="n">
        <x:f>IF(AND(N$5&gt;=$D58,N$5&lt;=$E58),1,0)</x:f>
        <x:v>0</x:v>
      </x:c>
      <x:c r="O58" s="36" t="n">
        <x:f>IF(AND(O$5&gt;=$D58,O$5&lt;=$E58),1,0)</x:f>
        <x:v>0</x:v>
      </x:c>
      <x:c r="P58" s="36" t="n">
        <x:f>IF(AND(P$5&gt;=$D58,P$5&lt;=$E58),1,0)</x:f>
        <x:v>0</x:v>
      </x:c>
      <x:c r="Q58" s="36" t="n">
        <x:f>IF(AND(Q$5&gt;=$D58,Q$5&lt;=$E58),1,0)</x:f>
        <x:v>0</x:v>
      </x:c>
      <x:c r="R58" s="36" t="n">
        <x:f>IF(AND(R$5&gt;=$D58,R$5&lt;=$E58),1,0)</x:f>
        <x:v>0</x:v>
      </x:c>
      <x:c r="S58" s="36" t="n">
        <x:f>IF(AND(S$5&gt;=$D58,S$5&lt;=$E58),1,0)</x:f>
        <x:v>0</x:v>
      </x:c>
      <x:c r="T58" s="36" t="n">
        <x:f>IF(AND(T$5&gt;=$D58,T$5&lt;=$E58),1,0)</x:f>
        <x:v>0</x:v>
      </x:c>
      <x:c r="U58" s="36" t="n">
        <x:f>IF(AND(U$5&gt;=$D58,U$5&lt;=$E58),1,0)</x:f>
        <x:v>0</x:v>
      </x:c>
      <x:c r="V58" s="36" t="n">
        <x:f>IF(AND(V$5&gt;=$D58,V$5&lt;=$E58),1,0)</x:f>
        <x:v>0</x:v>
      </x:c>
      <x:c r="W58" s="36" t="n">
        <x:f>IF(AND(W$5&gt;=$D58,W$5&lt;=$E58),1,0)</x:f>
        <x:v>0</x:v>
      </x:c>
      <x:c r="X58" s="36" t="n">
        <x:f>IF(AND(X$5&gt;=$D58,X$5&lt;=$E58),1,0)</x:f>
        <x:v>0</x:v>
      </x:c>
      <x:c r="Y58" s="36" t="n">
        <x:f>IF(AND(Y$5&gt;=$D58,Y$5&lt;=$E58),1,0)</x:f>
        <x:v>0</x:v>
      </x:c>
      <x:c r="Z58" s="36" t="n">
        <x:f>IF(AND(Z$5&gt;=$D58,Z$5&lt;=$E58),1,0)</x:f>
        <x:v>0</x:v>
      </x:c>
      <x:c r="AA58" s="36" t="n">
        <x:f>IF(AND(AA$5&gt;=$D58,AA$5&lt;=$E58),1,0)</x:f>
        <x:v>0</x:v>
      </x:c>
      <x:c r="AB58" s="36" t="n">
        <x:f>IF(AND(AB$5&gt;=$D58,AB$5&lt;=$E58),1,0)</x:f>
        <x:v>0</x:v>
      </x:c>
      <x:c r="AC58" s="36" t="n">
        <x:f>IF(AND(AC$5&gt;=$D58,AC$5&lt;=$E58),1,0)</x:f>
        <x:v>0</x:v>
      </x:c>
      <x:c r="AD58" s="36" t="n">
        <x:f>IF(AND(AD$5&gt;=$D58,AD$5&lt;=$E58),1,0)</x:f>
        <x:v>1</x:v>
      </x:c>
      <x:c r="AE58" s="36" t="n">
        <x:f>IF(AND(AE$5&gt;=$D58,AE$5&lt;=$E58),1,0)</x:f>
        <x:v>0</x:v>
      </x:c>
      <x:c r="AF58" s="36" t="n">
        <x:f>IF(AND(AF$5&gt;=$D58,AF$5&lt;=$E58),1,0)</x:f>
        <x:v>0</x:v>
      </x:c>
      <x:c r="AG58" s="36" t="n">
        <x:f>IF(AND(AG$5&gt;=$D58,AG$5&lt;=$E58),1,0)</x:f>
        <x:v>0</x:v>
      </x:c>
      <x:c r="AH58" s="36" t="n">
        <x:f>IF(AND(AH$5&gt;=$D58,AH$5&lt;=$E58),1,0)</x:f>
        <x:v>0</x:v>
      </x:c>
      <x:c r="AI58" s="36" t="n">
        <x:f>IF(AND(AI$5&gt;=$D58,AI$5&lt;=$E58),1,0)</x:f>
        <x:v>0</x:v>
      </x:c>
      <x:c r="AJ58" s="36" t="n">
        <x:f>IF(AND(AJ$5&gt;=$D58,AJ$5&lt;=$E58),1,0)</x:f>
        <x:v>0</x:v>
      </x:c>
      <x:c r="AK58" s="36" t="n">
        <x:f>IF(AND(AK$5&gt;=$D58,AK$5&lt;=$E58),1,0)</x:f>
        <x:v>0</x:v>
      </x:c>
      <x:c r="AL58" s="36" t="n">
        <x:f>IF(AND(AL$5&gt;=$D58,AL$5&lt;=$E58),1,0)</x:f>
        <x:v>0</x:v>
      </x:c>
      <x:c r="AM58" s="36" t="n">
        <x:f>IF(AND(AM$5&gt;=$D58,AM$5&lt;=$E58),1,0)</x:f>
        <x:v>0</x:v>
      </x:c>
      <x:c r="AN58" s="36" t="n">
        <x:f>IF(AND(AN$5&gt;=$D58,AN$5&lt;=$E58),1,0)</x:f>
        <x:v>0</x:v>
      </x:c>
      <x:c r="AO58" s="36" t="n">
        <x:f>IF(AND(AO$5&gt;=$D58,AO$5&lt;=$E58),1,0)</x:f>
        <x:v>0</x:v>
      </x:c>
      <x:c r="AP58" s="36" t="n">
        <x:f>IF(AND(AP$5&gt;=$D58,AP$5&lt;=$E58),1,0)</x:f>
        <x:v>0</x:v>
      </x:c>
      <x:c r="AQ58" s="36" t="n">
        <x:f>IF(AND(AQ$5&gt;=$D58,AQ$5&lt;=$E58),1,0)</x:f>
        <x:v>0</x:v>
      </x:c>
    </x:row>
    <x:row r="59" ht="38" customHeight="1">
      <x:c r="A59" s="9" t="str">
        <x:v>G3</x:v>
      </x:c>
      <x:c r="B59" s="9" t="str">
        <x:v>G3 freeze release candidate</x:v>
      </x:c>
      <x:c r="C59" s="9" t="str">
        <x:v>HP</x:v>
      </x:c>
      <x:c r="D59" s="9" t="n">
        <x:f>ROUNDUP('Tasks'!K59/5,0)</x:f>
        <x:v>23</x:v>
      </x:c>
      <x:c r="E59" s="9" t="n">
        <x:f>ROUNDUP('Tasks'!L59/5,0)</x:f>
        <x:v>23</x:v>
      </x:c>
      <x:c r="F59" s="9" t="str">
        <x:f>'Tasks'!R59</x:f>
        <x:v>Not started</x:v>
      </x:c>
      <x:c r="G59" s="37" t="n">
        <x:f>'Tasks'!S59</x:f>
        <x:v>0</x:v>
      </x:c>
      <x:c r="H59" s="38" t="n">
        <x:f>IF(AND(H$5&gt;=$D59,H$5&lt;=$E59),1,0)</x:f>
        <x:v>0</x:v>
      </x:c>
      <x:c r="I59" s="38" t="n">
        <x:f>IF(AND(I$5&gt;=$D59,I$5&lt;=$E59),1,0)</x:f>
        <x:v>0</x:v>
      </x:c>
      <x:c r="J59" s="38" t="n">
        <x:f>IF(AND(J$5&gt;=$D59,J$5&lt;=$E59),1,0)</x:f>
        <x:v>0</x:v>
      </x:c>
      <x:c r="K59" s="38" t="n">
        <x:f>IF(AND(K$5&gt;=$D59,K$5&lt;=$E59),1,0)</x:f>
        <x:v>0</x:v>
      </x:c>
      <x:c r="L59" s="38" t="n">
        <x:f>IF(AND(L$5&gt;=$D59,L$5&lt;=$E59),1,0)</x:f>
        <x:v>0</x:v>
      </x:c>
      <x:c r="M59" s="38" t="n">
        <x:f>IF(AND(M$5&gt;=$D59,M$5&lt;=$E59),1,0)</x:f>
        <x:v>0</x:v>
      </x:c>
      <x:c r="N59" s="38" t="n">
        <x:f>IF(AND(N$5&gt;=$D59,N$5&lt;=$E59),1,0)</x:f>
        <x:v>0</x:v>
      </x:c>
      <x:c r="O59" s="38" t="n">
        <x:f>IF(AND(O$5&gt;=$D59,O$5&lt;=$E59),1,0)</x:f>
        <x:v>0</x:v>
      </x:c>
      <x:c r="P59" s="38" t="n">
        <x:f>IF(AND(P$5&gt;=$D59,P$5&lt;=$E59),1,0)</x:f>
        <x:v>0</x:v>
      </x:c>
      <x:c r="Q59" s="38" t="n">
        <x:f>IF(AND(Q$5&gt;=$D59,Q$5&lt;=$E59),1,0)</x:f>
        <x:v>0</x:v>
      </x:c>
      <x:c r="R59" s="38" t="n">
        <x:f>IF(AND(R$5&gt;=$D59,R$5&lt;=$E59),1,0)</x:f>
        <x:v>0</x:v>
      </x:c>
      <x:c r="S59" s="38" t="n">
        <x:f>IF(AND(S$5&gt;=$D59,S$5&lt;=$E59),1,0)</x:f>
        <x:v>0</x:v>
      </x:c>
      <x:c r="T59" s="38" t="n">
        <x:f>IF(AND(T$5&gt;=$D59,T$5&lt;=$E59),1,0)</x:f>
        <x:v>0</x:v>
      </x:c>
      <x:c r="U59" s="38" t="n">
        <x:f>IF(AND(U$5&gt;=$D59,U$5&lt;=$E59),1,0)</x:f>
        <x:v>0</x:v>
      </x:c>
      <x:c r="V59" s="38" t="n">
        <x:f>IF(AND(V$5&gt;=$D59,V$5&lt;=$E59),1,0)</x:f>
        <x:v>0</x:v>
      </x:c>
      <x:c r="W59" s="38" t="n">
        <x:f>IF(AND(W$5&gt;=$D59,W$5&lt;=$E59),1,0)</x:f>
        <x:v>0</x:v>
      </x:c>
      <x:c r="X59" s="38" t="n">
        <x:f>IF(AND(X$5&gt;=$D59,X$5&lt;=$E59),1,0)</x:f>
        <x:v>0</x:v>
      </x:c>
      <x:c r="Y59" s="38" t="n">
        <x:f>IF(AND(Y$5&gt;=$D59,Y$5&lt;=$E59),1,0)</x:f>
        <x:v>0</x:v>
      </x:c>
      <x:c r="Z59" s="38" t="n">
        <x:f>IF(AND(Z$5&gt;=$D59,Z$5&lt;=$E59),1,0)</x:f>
        <x:v>0</x:v>
      </x:c>
      <x:c r="AA59" s="38" t="n">
        <x:f>IF(AND(AA$5&gt;=$D59,AA$5&lt;=$E59),1,0)</x:f>
        <x:v>0</x:v>
      </x:c>
      <x:c r="AB59" s="38" t="n">
        <x:f>IF(AND(AB$5&gt;=$D59,AB$5&lt;=$E59),1,0)</x:f>
        <x:v>0</x:v>
      </x:c>
      <x:c r="AC59" s="38" t="n">
        <x:f>IF(AND(AC$5&gt;=$D59,AC$5&lt;=$E59),1,0)</x:f>
        <x:v>0</x:v>
      </x:c>
      <x:c r="AD59" s="38" t="n">
        <x:f>IF(AND(AD$5&gt;=$D59,AD$5&lt;=$E59),1,0)</x:f>
        <x:v>1</x:v>
      </x:c>
      <x:c r="AE59" s="38" t="n">
        <x:f>IF(AND(AE$5&gt;=$D59,AE$5&lt;=$E59),1,0)</x:f>
        <x:v>0</x:v>
      </x:c>
      <x:c r="AF59" s="38" t="n">
        <x:f>IF(AND(AF$5&gt;=$D59,AF$5&lt;=$E59),1,0)</x:f>
        <x:v>0</x:v>
      </x:c>
      <x:c r="AG59" s="38" t="n">
        <x:f>IF(AND(AG$5&gt;=$D59,AG$5&lt;=$E59),1,0)</x:f>
        <x:v>0</x:v>
      </x:c>
      <x:c r="AH59" s="38" t="n">
        <x:f>IF(AND(AH$5&gt;=$D59,AH$5&lt;=$E59),1,0)</x:f>
        <x:v>0</x:v>
      </x:c>
      <x:c r="AI59" s="38" t="n">
        <x:f>IF(AND(AI$5&gt;=$D59,AI$5&lt;=$E59),1,0)</x:f>
        <x:v>0</x:v>
      </x:c>
      <x:c r="AJ59" s="38" t="n">
        <x:f>IF(AND(AJ$5&gt;=$D59,AJ$5&lt;=$E59),1,0)</x:f>
        <x:v>0</x:v>
      </x:c>
      <x:c r="AK59" s="38" t="n">
        <x:f>IF(AND(AK$5&gt;=$D59,AK$5&lt;=$E59),1,0)</x:f>
        <x:v>0</x:v>
      </x:c>
      <x:c r="AL59" s="38" t="n">
        <x:f>IF(AND(AL$5&gt;=$D59,AL$5&lt;=$E59),1,0)</x:f>
        <x:v>0</x:v>
      </x:c>
      <x:c r="AM59" s="38" t="n">
        <x:f>IF(AND(AM$5&gt;=$D59,AM$5&lt;=$E59),1,0)</x:f>
        <x:v>0</x:v>
      </x:c>
      <x:c r="AN59" s="38" t="n">
        <x:f>IF(AND(AN$5&gt;=$D59,AN$5&lt;=$E59),1,0)</x:f>
        <x:v>0</x:v>
      </x:c>
      <x:c r="AO59" s="38" t="n">
        <x:f>IF(AND(AO$5&gt;=$D59,AO$5&lt;=$E59),1,0)</x:f>
        <x:v>0</x:v>
      </x:c>
      <x:c r="AP59" s="38" t="n">
        <x:f>IF(AND(AP$5&gt;=$D59,AP$5&lt;=$E59),1,0)</x:f>
        <x:v>0</x:v>
      </x:c>
      <x:c r="AQ59" s="38" t="n">
        <x:f>IF(AND(AQ$5&gt;=$D59,AQ$5&lt;=$E59),1,0)</x:f>
        <x:v>0</x:v>
      </x:c>
    </x:row>
    <x:row r="60" ht="38" customHeight="1">
      <x:c r="A60" s="10" t="str">
        <x:v>H01</x:v>
      </x:c>
      <x:c r="B60" s="10" t="str">
        <x:v>Build internal evidence review interface</x:v>
      </x:c>
      <x:c r="C60" s="10" t="str">
        <x:v>OPS</x:v>
      </x:c>
      <x:c r="D60" s="10" t="n">
        <x:f>ROUNDUP('Tasks'!K60/5,0)</x:f>
        <x:v>13</x:v>
      </x:c>
      <x:c r="E60" s="10" t="n">
        <x:f>ROUNDUP('Tasks'!L60/5,0)</x:f>
        <x:v>14</x:v>
      </x:c>
      <x:c r="F60" s="10" t="str">
        <x:f>'Tasks'!R60</x:f>
        <x:v>Not started</x:v>
      </x:c>
      <x:c r="G60" s="35" t="n">
        <x:f>'Tasks'!S60</x:f>
        <x:v>0</x:v>
      </x:c>
      <x:c r="H60" s="36" t="n">
        <x:f>IF(AND(H$5&gt;=$D60,H$5&lt;=$E60),1,0)</x:f>
        <x:v>0</x:v>
      </x:c>
      <x:c r="I60" s="36" t="n">
        <x:f>IF(AND(I$5&gt;=$D60,I$5&lt;=$E60),1,0)</x:f>
        <x:v>0</x:v>
      </x:c>
      <x:c r="J60" s="36" t="n">
        <x:f>IF(AND(J$5&gt;=$D60,J$5&lt;=$E60),1,0)</x:f>
        <x:v>0</x:v>
      </x:c>
      <x:c r="K60" s="36" t="n">
        <x:f>IF(AND(K$5&gt;=$D60,K$5&lt;=$E60),1,0)</x:f>
        <x:v>0</x:v>
      </x:c>
      <x:c r="L60" s="36" t="n">
        <x:f>IF(AND(L$5&gt;=$D60,L$5&lt;=$E60),1,0)</x:f>
        <x:v>0</x:v>
      </x:c>
      <x:c r="M60" s="36" t="n">
        <x:f>IF(AND(M$5&gt;=$D60,M$5&lt;=$E60),1,0)</x:f>
        <x:v>0</x:v>
      </x:c>
      <x:c r="N60" s="36" t="n">
        <x:f>IF(AND(N$5&gt;=$D60,N$5&lt;=$E60),1,0)</x:f>
        <x:v>0</x:v>
      </x:c>
      <x:c r="O60" s="36" t="n">
        <x:f>IF(AND(O$5&gt;=$D60,O$5&lt;=$E60),1,0)</x:f>
        <x:v>0</x:v>
      </x:c>
      <x:c r="P60" s="36" t="n">
        <x:f>IF(AND(P$5&gt;=$D60,P$5&lt;=$E60),1,0)</x:f>
        <x:v>0</x:v>
      </x:c>
      <x:c r="Q60" s="36" t="n">
        <x:f>IF(AND(Q$5&gt;=$D60,Q$5&lt;=$E60),1,0)</x:f>
        <x:v>0</x:v>
      </x:c>
      <x:c r="R60" s="36" t="n">
        <x:f>IF(AND(R$5&gt;=$D60,R$5&lt;=$E60),1,0)</x:f>
        <x:v>0</x:v>
      </x:c>
      <x:c r="S60" s="36" t="n">
        <x:f>IF(AND(S$5&gt;=$D60,S$5&lt;=$E60),1,0)</x:f>
        <x:v>0</x:v>
      </x:c>
      <x:c r="T60" s="36" t="n">
        <x:f>IF(AND(T$5&gt;=$D60,T$5&lt;=$E60),1,0)</x:f>
        <x:v>1</x:v>
      </x:c>
      <x:c r="U60" s="36" t="n">
        <x:f>IF(AND(U$5&gt;=$D60,U$5&lt;=$E60),1,0)</x:f>
        <x:v>1</x:v>
      </x:c>
      <x:c r="V60" s="36" t="n">
        <x:f>IF(AND(V$5&gt;=$D60,V$5&lt;=$E60),1,0)</x:f>
        <x:v>0</x:v>
      </x:c>
      <x:c r="W60" s="36" t="n">
        <x:f>IF(AND(W$5&gt;=$D60,W$5&lt;=$E60),1,0)</x:f>
        <x:v>0</x:v>
      </x:c>
      <x:c r="X60" s="36" t="n">
        <x:f>IF(AND(X$5&gt;=$D60,X$5&lt;=$E60),1,0)</x:f>
        <x:v>0</x:v>
      </x:c>
      <x:c r="Y60" s="36" t="n">
        <x:f>IF(AND(Y$5&gt;=$D60,Y$5&lt;=$E60),1,0)</x:f>
        <x:v>0</x:v>
      </x:c>
      <x:c r="Z60" s="36" t="n">
        <x:f>IF(AND(Z$5&gt;=$D60,Z$5&lt;=$E60),1,0)</x:f>
        <x:v>0</x:v>
      </x:c>
      <x:c r="AA60" s="36" t="n">
        <x:f>IF(AND(AA$5&gt;=$D60,AA$5&lt;=$E60),1,0)</x:f>
        <x:v>0</x:v>
      </x:c>
      <x:c r="AB60" s="36" t="n">
        <x:f>IF(AND(AB$5&gt;=$D60,AB$5&lt;=$E60),1,0)</x:f>
        <x:v>0</x:v>
      </x:c>
      <x:c r="AC60" s="36" t="n">
        <x:f>IF(AND(AC$5&gt;=$D60,AC$5&lt;=$E60),1,0)</x:f>
        <x:v>0</x:v>
      </x:c>
      <x:c r="AD60" s="36" t="n">
        <x:f>IF(AND(AD$5&gt;=$D60,AD$5&lt;=$E60),1,0)</x:f>
        <x:v>0</x:v>
      </x:c>
      <x:c r="AE60" s="36" t="n">
        <x:f>IF(AND(AE$5&gt;=$D60,AE$5&lt;=$E60),1,0)</x:f>
        <x:v>0</x:v>
      </x:c>
      <x:c r="AF60" s="36" t="n">
        <x:f>IF(AND(AF$5&gt;=$D60,AF$5&lt;=$E60),1,0)</x:f>
        <x:v>0</x:v>
      </x:c>
      <x:c r="AG60" s="36" t="n">
        <x:f>IF(AND(AG$5&gt;=$D60,AG$5&lt;=$E60),1,0)</x:f>
        <x:v>0</x:v>
      </x:c>
      <x:c r="AH60" s="36" t="n">
        <x:f>IF(AND(AH$5&gt;=$D60,AH$5&lt;=$E60),1,0)</x:f>
        <x:v>0</x:v>
      </x:c>
      <x:c r="AI60" s="36" t="n">
        <x:f>IF(AND(AI$5&gt;=$D60,AI$5&lt;=$E60),1,0)</x:f>
        <x:v>0</x:v>
      </x:c>
      <x:c r="AJ60" s="36" t="n">
        <x:f>IF(AND(AJ$5&gt;=$D60,AJ$5&lt;=$E60),1,0)</x:f>
        <x:v>0</x:v>
      </x:c>
      <x:c r="AK60" s="36" t="n">
        <x:f>IF(AND(AK$5&gt;=$D60,AK$5&lt;=$E60),1,0)</x:f>
        <x:v>0</x:v>
      </x:c>
      <x:c r="AL60" s="36" t="n">
        <x:f>IF(AND(AL$5&gt;=$D60,AL$5&lt;=$E60),1,0)</x:f>
        <x:v>0</x:v>
      </x:c>
      <x:c r="AM60" s="36" t="n">
        <x:f>IF(AND(AM$5&gt;=$D60,AM$5&lt;=$E60),1,0)</x:f>
        <x:v>0</x:v>
      </x:c>
      <x:c r="AN60" s="36" t="n">
        <x:f>IF(AND(AN$5&gt;=$D60,AN$5&lt;=$E60),1,0)</x:f>
        <x:v>0</x:v>
      </x:c>
      <x:c r="AO60" s="36" t="n">
        <x:f>IF(AND(AO$5&gt;=$D60,AO$5&lt;=$E60),1,0)</x:f>
        <x:v>0</x:v>
      </x:c>
      <x:c r="AP60" s="36" t="n">
        <x:f>IF(AND(AP$5&gt;=$D60,AP$5&lt;=$E60),1,0)</x:f>
        <x:v>0</x:v>
      </x:c>
      <x:c r="AQ60" s="36" t="n">
        <x:f>IF(AND(AQ$5&gt;=$D60,AQ$5&lt;=$E60),1,0)</x:f>
        <x:v>0</x:v>
      </x:c>
    </x:row>
    <x:row r="61" ht="38" customHeight="1">
      <x:c r="A61" s="9" t="str">
        <x:v>H02</x:v>
      </x:c>
      <x:c r="B61" s="9" t="str">
        <x:v>Build inference and tool service</x:v>
      </x:c>
      <x:c r="C61" s="9" t="str">
        <x:v>AI</x:v>
      </x:c>
      <x:c r="D61" s="9" t="n">
        <x:f>ROUNDUP('Tasks'!K61/5,0)</x:f>
        <x:v>15</x:v>
      </x:c>
      <x:c r="E61" s="9" t="n">
        <x:f>ROUNDUP('Tasks'!L61/5,0)</x:f>
        <x:v>17</x:v>
      </x:c>
      <x:c r="F61" s="9" t="str">
        <x:f>'Tasks'!R61</x:f>
        <x:v>Not started</x:v>
      </x:c>
      <x:c r="G61" s="37" t="n">
        <x:f>'Tasks'!S61</x:f>
        <x:v>0</x:v>
      </x:c>
      <x:c r="H61" s="38" t="n">
        <x:f>IF(AND(H$5&gt;=$D61,H$5&lt;=$E61),1,0)</x:f>
        <x:v>0</x:v>
      </x:c>
      <x:c r="I61" s="38" t="n">
        <x:f>IF(AND(I$5&gt;=$D61,I$5&lt;=$E61),1,0)</x:f>
        <x:v>0</x:v>
      </x:c>
      <x:c r="J61" s="38" t="n">
        <x:f>IF(AND(J$5&gt;=$D61,J$5&lt;=$E61),1,0)</x:f>
        <x:v>0</x:v>
      </x:c>
      <x:c r="K61" s="38" t="n">
        <x:f>IF(AND(K$5&gt;=$D61,K$5&lt;=$E61),1,0)</x:f>
        <x:v>0</x:v>
      </x:c>
      <x:c r="L61" s="38" t="n">
        <x:f>IF(AND(L$5&gt;=$D61,L$5&lt;=$E61),1,0)</x:f>
        <x:v>0</x:v>
      </x:c>
      <x:c r="M61" s="38" t="n">
        <x:f>IF(AND(M$5&gt;=$D61,M$5&lt;=$E61),1,0)</x:f>
        <x:v>0</x:v>
      </x:c>
      <x:c r="N61" s="38" t="n">
        <x:f>IF(AND(N$5&gt;=$D61,N$5&lt;=$E61),1,0)</x:f>
        <x:v>0</x:v>
      </x:c>
      <x:c r="O61" s="38" t="n">
        <x:f>IF(AND(O$5&gt;=$D61,O$5&lt;=$E61),1,0)</x:f>
        <x:v>0</x:v>
      </x:c>
      <x:c r="P61" s="38" t="n">
        <x:f>IF(AND(P$5&gt;=$D61,P$5&lt;=$E61),1,0)</x:f>
        <x:v>0</x:v>
      </x:c>
      <x:c r="Q61" s="38" t="n">
        <x:f>IF(AND(Q$5&gt;=$D61,Q$5&lt;=$E61),1,0)</x:f>
        <x:v>0</x:v>
      </x:c>
      <x:c r="R61" s="38" t="n">
        <x:f>IF(AND(R$5&gt;=$D61,R$5&lt;=$E61),1,0)</x:f>
        <x:v>0</x:v>
      </x:c>
      <x:c r="S61" s="38" t="n">
        <x:f>IF(AND(S$5&gt;=$D61,S$5&lt;=$E61),1,0)</x:f>
        <x:v>0</x:v>
      </x:c>
      <x:c r="T61" s="38" t="n">
        <x:f>IF(AND(T$5&gt;=$D61,T$5&lt;=$E61),1,0)</x:f>
        <x:v>0</x:v>
      </x:c>
      <x:c r="U61" s="38" t="n">
        <x:f>IF(AND(U$5&gt;=$D61,U$5&lt;=$E61),1,0)</x:f>
        <x:v>0</x:v>
      </x:c>
      <x:c r="V61" s="38" t="n">
        <x:f>IF(AND(V$5&gt;=$D61,V$5&lt;=$E61),1,0)</x:f>
        <x:v>1</x:v>
      </x:c>
      <x:c r="W61" s="38" t="n">
        <x:f>IF(AND(W$5&gt;=$D61,W$5&lt;=$E61),1,0)</x:f>
        <x:v>1</x:v>
      </x:c>
      <x:c r="X61" s="38" t="n">
        <x:f>IF(AND(X$5&gt;=$D61,X$5&lt;=$E61),1,0)</x:f>
        <x:v>1</x:v>
      </x:c>
      <x:c r="Y61" s="38" t="n">
        <x:f>IF(AND(Y$5&gt;=$D61,Y$5&lt;=$E61),1,0)</x:f>
        <x:v>0</x:v>
      </x:c>
      <x:c r="Z61" s="38" t="n">
        <x:f>IF(AND(Z$5&gt;=$D61,Z$5&lt;=$E61),1,0)</x:f>
        <x:v>0</x:v>
      </x:c>
      <x:c r="AA61" s="38" t="n">
        <x:f>IF(AND(AA$5&gt;=$D61,AA$5&lt;=$E61),1,0)</x:f>
        <x:v>0</x:v>
      </x:c>
      <x:c r="AB61" s="38" t="n">
        <x:f>IF(AND(AB$5&gt;=$D61,AB$5&lt;=$E61),1,0)</x:f>
        <x:v>0</x:v>
      </x:c>
      <x:c r="AC61" s="38" t="n">
        <x:f>IF(AND(AC$5&gt;=$D61,AC$5&lt;=$E61),1,0)</x:f>
        <x:v>0</x:v>
      </x:c>
      <x:c r="AD61" s="38" t="n">
        <x:f>IF(AND(AD$5&gt;=$D61,AD$5&lt;=$E61),1,0)</x:f>
        <x:v>0</x:v>
      </x:c>
      <x:c r="AE61" s="38" t="n">
        <x:f>IF(AND(AE$5&gt;=$D61,AE$5&lt;=$E61),1,0)</x:f>
        <x:v>0</x:v>
      </x:c>
      <x:c r="AF61" s="38" t="n">
        <x:f>IF(AND(AF$5&gt;=$D61,AF$5&lt;=$E61),1,0)</x:f>
        <x:v>0</x:v>
      </x:c>
      <x:c r="AG61" s="38" t="n">
        <x:f>IF(AND(AG$5&gt;=$D61,AG$5&lt;=$E61),1,0)</x:f>
        <x:v>0</x:v>
      </x:c>
      <x:c r="AH61" s="38" t="n">
        <x:f>IF(AND(AH$5&gt;=$D61,AH$5&lt;=$E61),1,0)</x:f>
        <x:v>0</x:v>
      </x:c>
      <x:c r="AI61" s="38" t="n">
        <x:f>IF(AND(AI$5&gt;=$D61,AI$5&lt;=$E61),1,0)</x:f>
        <x:v>0</x:v>
      </x:c>
      <x:c r="AJ61" s="38" t="n">
        <x:f>IF(AND(AJ$5&gt;=$D61,AJ$5&lt;=$E61),1,0)</x:f>
        <x:v>0</x:v>
      </x:c>
      <x:c r="AK61" s="38" t="n">
        <x:f>IF(AND(AK$5&gt;=$D61,AK$5&lt;=$E61),1,0)</x:f>
        <x:v>0</x:v>
      </x:c>
      <x:c r="AL61" s="38" t="n">
        <x:f>IF(AND(AL$5&gt;=$D61,AL$5&lt;=$E61),1,0)</x:f>
        <x:v>0</x:v>
      </x:c>
      <x:c r="AM61" s="38" t="n">
        <x:f>IF(AND(AM$5&gt;=$D61,AM$5&lt;=$E61),1,0)</x:f>
        <x:v>0</x:v>
      </x:c>
      <x:c r="AN61" s="38" t="n">
        <x:f>IF(AND(AN$5&gt;=$D61,AN$5&lt;=$E61),1,0)</x:f>
        <x:v>0</x:v>
      </x:c>
      <x:c r="AO61" s="38" t="n">
        <x:f>IF(AND(AO$5&gt;=$D61,AO$5&lt;=$E61),1,0)</x:f>
        <x:v>0</x:v>
      </x:c>
      <x:c r="AP61" s="38" t="n">
        <x:f>IF(AND(AP$5&gt;=$D61,AP$5&lt;=$E61),1,0)</x:f>
        <x:v>0</x:v>
      </x:c>
      <x:c r="AQ61" s="38" t="n">
        <x:f>IF(AND(AQ$5&gt;=$D61,AQ$5&lt;=$E61),1,0)</x:f>
        <x:v>0</x:v>
      </x:c>
    </x:row>
    <x:row r="62" ht="38" customHeight="1">
      <x:c r="A62" s="10" t="str">
        <x:v>H03</x:v>
      </x:c>
      <x:c r="B62" s="10" t="str">
        <x:v>Integrate serving adapter and processor</x:v>
      </x:c>
      <x:c r="C62" s="10" t="str">
        <x:v>AI</x:v>
      </x:c>
      <x:c r="D62" s="10" t="n">
        <x:f>ROUNDUP('Tasks'!K62/5,0)</x:f>
        <x:v>23</x:v>
      </x:c>
      <x:c r="E62" s="10" t="n">
        <x:f>ROUNDUP('Tasks'!L62/5,0)</x:f>
        <x:v>24</x:v>
      </x:c>
      <x:c r="F62" s="10" t="str">
        <x:f>'Tasks'!R62</x:f>
        <x:v>Not started</x:v>
      </x:c>
      <x:c r="G62" s="35" t="n">
        <x:f>'Tasks'!S62</x:f>
        <x:v>0</x:v>
      </x:c>
      <x:c r="H62" s="36" t="n">
        <x:f>IF(AND(H$5&gt;=$D62,H$5&lt;=$E62),1,0)</x:f>
        <x:v>0</x:v>
      </x:c>
      <x:c r="I62" s="36" t="n">
        <x:f>IF(AND(I$5&gt;=$D62,I$5&lt;=$E62),1,0)</x:f>
        <x:v>0</x:v>
      </x:c>
      <x:c r="J62" s="36" t="n">
        <x:f>IF(AND(J$5&gt;=$D62,J$5&lt;=$E62),1,0)</x:f>
        <x:v>0</x:v>
      </x:c>
      <x:c r="K62" s="36" t="n">
        <x:f>IF(AND(K$5&gt;=$D62,K$5&lt;=$E62),1,0)</x:f>
        <x:v>0</x:v>
      </x:c>
      <x:c r="L62" s="36" t="n">
        <x:f>IF(AND(L$5&gt;=$D62,L$5&lt;=$E62),1,0)</x:f>
        <x:v>0</x:v>
      </x:c>
      <x:c r="M62" s="36" t="n">
        <x:f>IF(AND(M$5&gt;=$D62,M$5&lt;=$E62),1,0)</x:f>
        <x:v>0</x:v>
      </x:c>
      <x:c r="N62" s="36" t="n">
        <x:f>IF(AND(N$5&gt;=$D62,N$5&lt;=$E62),1,0)</x:f>
        <x:v>0</x:v>
      </x:c>
      <x:c r="O62" s="36" t="n">
        <x:f>IF(AND(O$5&gt;=$D62,O$5&lt;=$E62),1,0)</x:f>
        <x:v>0</x:v>
      </x:c>
      <x:c r="P62" s="36" t="n">
        <x:f>IF(AND(P$5&gt;=$D62,P$5&lt;=$E62),1,0)</x:f>
        <x:v>0</x:v>
      </x:c>
      <x:c r="Q62" s="36" t="n">
        <x:f>IF(AND(Q$5&gt;=$D62,Q$5&lt;=$E62),1,0)</x:f>
        <x:v>0</x:v>
      </x:c>
      <x:c r="R62" s="36" t="n">
        <x:f>IF(AND(R$5&gt;=$D62,R$5&lt;=$E62),1,0)</x:f>
        <x:v>0</x:v>
      </x:c>
      <x:c r="S62" s="36" t="n">
        <x:f>IF(AND(S$5&gt;=$D62,S$5&lt;=$E62),1,0)</x:f>
        <x:v>0</x:v>
      </x:c>
      <x:c r="T62" s="36" t="n">
        <x:f>IF(AND(T$5&gt;=$D62,T$5&lt;=$E62),1,0)</x:f>
        <x:v>0</x:v>
      </x:c>
      <x:c r="U62" s="36" t="n">
        <x:f>IF(AND(U$5&gt;=$D62,U$5&lt;=$E62),1,0)</x:f>
        <x:v>0</x:v>
      </x:c>
      <x:c r="V62" s="36" t="n">
        <x:f>IF(AND(V$5&gt;=$D62,V$5&lt;=$E62),1,0)</x:f>
        <x:v>0</x:v>
      </x:c>
      <x:c r="W62" s="36" t="n">
        <x:f>IF(AND(W$5&gt;=$D62,W$5&lt;=$E62),1,0)</x:f>
        <x:v>0</x:v>
      </x:c>
      <x:c r="X62" s="36" t="n">
        <x:f>IF(AND(X$5&gt;=$D62,X$5&lt;=$E62),1,0)</x:f>
        <x:v>0</x:v>
      </x:c>
      <x:c r="Y62" s="36" t="n">
        <x:f>IF(AND(Y$5&gt;=$D62,Y$5&lt;=$E62),1,0)</x:f>
        <x:v>0</x:v>
      </x:c>
      <x:c r="Z62" s="36" t="n">
        <x:f>IF(AND(Z$5&gt;=$D62,Z$5&lt;=$E62),1,0)</x:f>
        <x:v>0</x:v>
      </x:c>
      <x:c r="AA62" s="36" t="n">
        <x:f>IF(AND(AA$5&gt;=$D62,AA$5&lt;=$E62),1,0)</x:f>
        <x:v>0</x:v>
      </x:c>
      <x:c r="AB62" s="36" t="n">
        <x:f>IF(AND(AB$5&gt;=$D62,AB$5&lt;=$E62),1,0)</x:f>
        <x:v>0</x:v>
      </x:c>
      <x:c r="AC62" s="36" t="n">
        <x:f>IF(AND(AC$5&gt;=$D62,AC$5&lt;=$E62),1,0)</x:f>
        <x:v>0</x:v>
      </x:c>
      <x:c r="AD62" s="36" t="n">
        <x:f>IF(AND(AD$5&gt;=$D62,AD$5&lt;=$E62),1,0)</x:f>
        <x:v>1</x:v>
      </x:c>
      <x:c r="AE62" s="36" t="n">
        <x:f>IF(AND(AE$5&gt;=$D62,AE$5&lt;=$E62),1,0)</x:f>
        <x:v>1</x:v>
      </x:c>
      <x:c r="AF62" s="36" t="n">
        <x:f>IF(AND(AF$5&gt;=$D62,AF$5&lt;=$E62),1,0)</x:f>
        <x:v>0</x:v>
      </x:c>
      <x:c r="AG62" s="36" t="n">
        <x:f>IF(AND(AG$5&gt;=$D62,AG$5&lt;=$E62),1,0)</x:f>
        <x:v>0</x:v>
      </x:c>
      <x:c r="AH62" s="36" t="n">
        <x:f>IF(AND(AH$5&gt;=$D62,AH$5&lt;=$E62),1,0)</x:f>
        <x:v>0</x:v>
      </x:c>
      <x:c r="AI62" s="36" t="n">
        <x:f>IF(AND(AI$5&gt;=$D62,AI$5&lt;=$E62),1,0)</x:f>
        <x:v>0</x:v>
      </x:c>
      <x:c r="AJ62" s="36" t="n">
        <x:f>IF(AND(AJ$5&gt;=$D62,AJ$5&lt;=$E62),1,0)</x:f>
        <x:v>0</x:v>
      </x:c>
      <x:c r="AK62" s="36" t="n">
        <x:f>IF(AND(AK$5&gt;=$D62,AK$5&lt;=$E62),1,0)</x:f>
        <x:v>0</x:v>
      </x:c>
      <x:c r="AL62" s="36" t="n">
        <x:f>IF(AND(AL$5&gt;=$D62,AL$5&lt;=$E62),1,0)</x:f>
        <x:v>0</x:v>
      </x:c>
      <x:c r="AM62" s="36" t="n">
        <x:f>IF(AND(AM$5&gt;=$D62,AM$5&lt;=$E62),1,0)</x:f>
        <x:v>0</x:v>
      </x:c>
      <x:c r="AN62" s="36" t="n">
        <x:f>IF(AND(AN$5&gt;=$D62,AN$5&lt;=$E62),1,0)</x:f>
        <x:v>0</x:v>
      </x:c>
      <x:c r="AO62" s="36" t="n">
        <x:f>IF(AND(AO$5&gt;=$D62,AO$5&lt;=$E62),1,0)</x:f>
        <x:v>0</x:v>
      </x:c>
      <x:c r="AP62" s="36" t="n">
        <x:f>IF(AND(AP$5&gt;=$D62,AP$5&lt;=$E62),1,0)</x:f>
        <x:v>0</x:v>
      </x:c>
      <x:c r="AQ62" s="36" t="n">
        <x:f>IF(AND(AQ$5&gt;=$D62,AQ$5&lt;=$E62),1,0)</x:f>
        <x:v>0</x:v>
      </x:c>
    </x:row>
    <x:row r="63" ht="38" customHeight="1">
      <x:c r="A63" s="9" t="str">
        <x:v>H04</x:v>
      </x:c>
      <x:c r="B63" s="9" t="str">
        <x:v>Build monitoring and controlled feedback queue</x:v>
      </x:c>
      <x:c r="C63" s="9" t="str">
        <x:v>OPS</x:v>
      </x:c>
      <x:c r="D63" s="9" t="n">
        <x:f>ROUNDUP('Tasks'!K63/5,0)</x:f>
        <x:v>17</x:v>
      </x:c>
      <x:c r="E63" s="9" t="n">
        <x:f>ROUNDUP('Tasks'!L63/5,0)</x:f>
        <x:v>19</x:v>
      </x:c>
      <x:c r="F63" s="9" t="str">
        <x:f>'Tasks'!R63</x:f>
        <x:v>Not started</x:v>
      </x:c>
      <x:c r="G63" s="37" t="n">
        <x:f>'Tasks'!S63</x:f>
        <x:v>0</x:v>
      </x:c>
      <x:c r="H63" s="38" t="n">
        <x:f>IF(AND(H$5&gt;=$D63,H$5&lt;=$E63),1,0)</x:f>
        <x:v>0</x:v>
      </x:c>
      <x:c r="I63" s="38" t="n">
        <x:f>IF(AND(I$5&gt;=$D63,I$5&lt;=$E63),1,0)</x:f>
        <x:v>0</x:v>
      </x:c>
      <x:c r="J63" s="38" t="n">
        <x:f>IF(AND(J$5&gt;=$D63,J$5&lt;=$E63),1,0)</x:f>
        <x:v>0</x:v>
      </x:c>
      <x:c r="K63" s="38" t="n">
        <x:f>IF(AND(K$5&gt;=$D63,K$5&lt;=$E63),1,0)</x:f>
        <x:v>0</x:v>
      </x:c>
      <x:c r="L63" s="38" t="n">
        <x:f>IF(AND(L$5&gt;=$D63,L$5&lt;=$E63),1,0)</x:f>
        <x:v>0</x:v>
      </x:c>
      <x:c r="M63" s="38" t="n">
        <x:f>IF(AND(M$5&gt;=$D63,M$5&lt;=$E63),1,0)</x:f>
        <x:v>0</x:v>
      </x:c>
      <x:c r="N63" s="38" t="n">
        <x:f>IF(AND(N$5&gt;=$D63,N$5&lt;=$E63),1,0)</x:f>
        <x:v>0</x:v>
      </x:c>
      <x:c r="O63" s="38" t="n">
        <x:f>IF(AND(O$5&gt;=$D63,O$5&lt;=$E63),1,0)</x:f>
        <x:v>0</x:v>
      </x:c>
      <x:c r="P63" s="38" t="n">
        <x:f>IF(AND(P$5&gt;=$D63,P$5&lt;=$E63),1,0)</x:f>
        <x:v>0</x:v>
      </x:c>
      <x:c r="Q63" s="38" t="n">
        <x:f>IF(AND(Q$5&gt;=$D63,Q$5&lt;=$E63),1,0)</x:f>
        <x:v>0</x:v>
      </x:c>
      <x:c r="R63" s="38" t="n">
        <x:f>IF(AND(R$5&gt;=$D63,R$5&lt;=$E63),1,0)</x:f>
        <x:v>0</x:v>
      </x:c>
      <x:c r="S63" s="38" t="n">
        <x:f>IF(AND(S$5&gt;=$D63,S$5&lt;=$E63),1,0)</x:f>
        <x:v>0</x:v>
      </x:c>
      <x:c r="T63" s="38" t="n">
        <x:f>IF(AND(T$5&gt;=$D63,T$5&lt;=$E63),1,0)</x:f>
        <x:v>0</x:v>
      </x:c>
      <x:c r="U63" s="38" t="n">
        <x:f>IF(AND(U$5&gt;=$D63,U$5&lt;=$E63),1,0)</x:f>
        <x:v>0</x:v>
      </x:c>
      <x:c r="V63" s="38" t="n">
        <x:f>IF(AND(V$5&gt;=$D63,V$5&lt;=$E63),1,0)</x:f>
        <x:v>0</x:v>
      </x:c>
      <x:c r="W63" s="38" t="n">
        <x:f>IF(AND(W$5&gt;=$D63,W$5&lt;=$E63),1,0)</x:f>
        <x:v>0</x:v>
      </x:c>
      <x:c r="X63" s="38" t="n">
        <x:f>IF(AND(X$5&gt;=$D63,X$5&lt;=$E63),1,0)</x:f>
        <x:v>1</x:v>
      </x:c>
      <x:c r="Y63" s="38" t="n">
        <x:f>IF(AND(Y$5&gt;=$D63,Y$5&lt;=$E63),1,0)</x:f>
        <x:v>1</x:v>
      </x:c>
      <x:c r="Z63" s="38" t="n">
        <x:f>IF(AND(Z$5&gt;=$D63,Z$5&lt;=$E63),1,0)</x:f>
        <x:v>1</x:v>
      </x:c>
      <x:c r="AA63" s="38" t="n">
        <x:f>IF(AND(AA$5&gt;=$D63,AA$5&lt;=$E63),1,0)</x:f>
        <x:v>0</x:v>
      </x:c>
      <x:c r="AB63" s="38" t="n">
        <x:f>IF(AND(AB$5&gt;=$D63,AB$5&lt;=$E63),1,0)</x:f>
        <x:v>0</x:v>
      </x:c>
      <x:c r="AC63" s="38" t="n">
        <x:f>IF(AND(AC$5&gt;=$D63,AC$5&lt;=$E63),1,0)</x:f>
        <x:v>0</x:v>
      </x:c>
      <x:c r="AD63" s="38" t="n">
        <x:f>IF(AND(AD$5&gt;=$D63,AD$5&lt;=$E63),1,0)</x:f>
        <x:v>0</x:v>
      </x:c>
      <x:c r="AE63" s="38" t="n">
        <x:f>IF(AND(AE$5&gt;=$D63,AE$5&lt;=$E63),1,0)</x:f>
        <x:v>0</x:v>
      </x:c>
      <x:c r="AF63" s="38" t="n">
        <x:f>IF(AND(AF$5&gt;=$D63,AF$5&lt;=$E63),1,0)</x:f>
        <x:v>0</x:v>
      </x:c>
      <x:c r="AG63" s="38" t="n">
        <x:f>IF(AND(AG$5&gt;=$D63,AG$5&lt;=$E63),1,0)</x:f>
        <x:v>0</x:v>
      </x:c>
      <x:c r="AH63" s="38" t="n">
        <x:f>IF(AND(AH$5&gt;=$D63,AH$5&lt;=$E63),1,0)</x:f>
        <x:v>0</x:v>
      </x:c>
      <x:c r="AI63" s="38" t="n">
        <x:f>IF(AND(AI$5&gt;=$D63,AI$5&lt;=$E63),1,0)</x:f>
        <x:v>0</x:v>
      </x:c>
      <x:c r="AJ63" s="38" t="n">
        <x:f>IF(AND(AJ$5&gt;=$D63,AJ$5&lt;=$E63),1,0)</x:f>
        <x:v>0</x:v>
      </x:c>
      <x:c r="AK63" s="38" t="n">
        <x:f>IF(AND(AK$5&gt;=$D63,AK$5&lt;=$E63),1,0)</x:f>
        <x:v>0</x:v>
      </x:c>
      <x:c r="AL63" s="38" t="n">
        <x:f>IF(AND(AL$5&gt;=$D63,AL$5&lt;=$E63),1,0)</x:f>
        <x:v>0</x:v>
      </x:c>
      <x:c r="AM63" s="38" t="n">
        <x:f>IF(AND(AM$5&gt;=$D63,AM$5&lt;=$E63),1,0)</x:f>
        <x:v>0</x:v>
      </x:c>
      <x:c r="AN63" s="38" t="n">
        <x:f>IF(AND(AN$5&gt;=$D63,AN$5&lt;=$E63),1,0)</x:f>
        <x:v>0</x:v>
      </x:c>
      <x:c r="AO63" s="38" t="n">
        <x:f>IF(AND(AO$5&gt;=$D63,AO$5&lt;=$E63),1,0)</x:f>
        <x:v>0</x:v>
      </x:c>
      <x:c r="AP63" s="38" t="n">
        <x:f>IF(AND(AP$5&gt;=$D63,AP$5&lt;=$E63),1,0)</x:f>
        <x:v>0</x:v>
      </x:c>
      <x:c r="AQ63" s="38" t="n">
        <x:f>IF(AND(AQ$5&gt;=$D63,AQ$5&lt;=$E63),1,0)</x:f>
        <x:v>0</x:v>
      </x:c>
    </x:row>
    <x:row r="64" ht="38" customHeight="1">
      <x:c r="A64" s="10" t="str">
        <x:v>I01</x:v>
      </x:c>
      <x:c r="B64" s="10" t="str">
        <x:v>Run locked independent technical evaluation</x:v>
      </x:c>
      <x:c r="C64" s="10" t="str">
        <x:v>TD</x:v>
      </x:c>
      <x:c r="D64" s="10" t="n">
        <x:f>ROUNDUP('Tasks'!K64/5,0)</x:f>
        <x:v>24</x:v>
      </x:c>
      <x:c r="E64" s="10" t="n">
        <x:f>ROUNDUP('Tasks'!L64/5,0)</x:f>
        <x:v>25</x:v>
      </x:c>
      <x:c r="F64" s="10" t="str">
        <x:f>'Tasks'!R64</x:f>
        <x:v>Not started</x:v>
      </x:c>
      <x:c r="G64" s="35" t="n">
        <x:f>'Tasks'!S64</x:f>
        <x:v>0</x:v>
      </x:c>
      <x:c r="H64" s="36" t="n">
        <x:f>IF(AND(H$5&gt;=$D64,H$5&lt;=$E64),1,0)</x:f>
        <x:v>0</x:v>
      </x:c>
      <x:c r="I64" s="36" t="n">
        <x:f>IF(AND(I$5&gt;=$D64,I$5&lt;=$E64),1,0)</x:f>
        <x:v>0</x:v>
      </x:c>
      <x:c r="J64" s="36" t="n">
        <x:f>IF(AND(J$5&gt;=$D64,J$5&lt;=$E64),1,0)</x:f>
        <x:v>0</x:v>
      </x:c>
      <x:c r="K64" s="36" t="n">
        <x:f>IF(AND(K$5&gt;=$D64,K$5&lt;=$E64),1,0)</x:f>
        <x:v>0</x:v>
      </x:c>
      <x:c r="L64" s="36" t="n">
        <x:f>IF(AND(L$5&gt;=$D64,L$5&lt;=$E64),1,0)</x:f>
        <x:v>0</x:v>
      </x:c>
      <x:c r="M64" s="36" t="n">
        <x:f>IF(AND(M$5&gt;=$D64,M$5&lt;=$E64),1,0)</x:f>
        <x:v>0</x:v>
      </x:c>
      <x:c r="N64" s="36" t="n">
        <x:f>IF(AND(N$5&gt;=$D64,N$5&lt;=$E64),1,0)</x:f>
        <x:v>0</x:v>
      </x:c>
      <x:c r="O64" s="36" t="n">
        <x:f>IF(AND(O$5&gt;=$D64,O$5&lt;=$E64),1,0)</x:f>
        <x:v>0</x:v>
      </x:c>
      <x:c r="P64" s="36" t="n">
        <x:f>IF(AND(P$5&gt;=$D64,P$5&lt;=$E64),1,0)</x:f>
        <x:v>0</x:v>
      </x:c>
      <x:c r="Q64" s="36" t="n">
        <x:f>IF(AND(Q$5&gt;=$D64,Q$5&lt;=$E64),1,0)</x:f>
        <x:v>0</x:v>
      </x:c>
      <x:c r="R64" s="36" t="n">
        <x:f>IF(AND(R$5&gt;=$D64,R$5&lt;=$E64),1,0)</x:f>
        <x:v>0</x:v>
      </x:c>
      <x:c r="S64" s="36" t="n">
        <x:f>IF(AND(S$5&gt;=$D64,S$5&lt;=$E64),1,0)</x:f>
        <x:v>0</x:v>
      </x:c>
      <x:c r="T64" s="36" t="n">
        <x:f>IF(AND(T$5&gt;=$D64,T$5&lt;=$E64),1,0)</x:f>
        <x:v>0</x:v>
      </x:c>
      <x:c r="U64" s="36" t="n">
        <x:f>IF(AND(U$5&gt;=$D64,U$5&lt;=$E64),1,0)</x:f>
        <x:v>0</x:v>
      </x:c>
      <x:c r="V64" s="36" t="n">
        <x:f>IF(AND(V$5&gt;=$D64,V$5&lt;=$E64),1,0)</x:f>
        <x:v>0</x:v>
      </x:c>
      <x:c r="W64" s="36" t="n">
        <x:f>IF(AND(W$5&gt;=$D64,W$5&lt;=$E64),1,0)</x:f>
        <x:v>0</x:v>
      </x:c>
      <x:c r="X64" s="36" t="n">
        <x:f>IF(AND(X$5&gt;=$D64,X$5&lt;=$E64),1,0)</x:f>
        <x:v>0</x:v>
      </x:c>
      <x:c r="Y64" s="36" t="n">
        <x:f>IF(AND(Y$5&gt;=$D64,Y$5&lt;=$E64),1,0)</x:f>
        <x:v>0</x:v>
      </x:c>
      <x:c r="Z64" s="36" t="n">
        <x:f>IF(AND(Z$5&gt;=$D64,Z$5&lt;=$E64),1,0)</x:f>
        <x:v>0</x:v>
      </x:c>
      <x:c r="AA64" s="36" t="n">
        <x:f>IF(AND(AA$5&gt;=$D64,AA$5&lt;=$E64),1,0)</x:f>
        <x:v>0</x:v>
      </x:c>
      <x:c r="AB64" s="36" t="n">
        <x:f>IF(AND(AB$5&gt;=$D64,AB$5&lt;=$E64),1,0)</x:f>
        <x:v>0</x:v>
      </x:c>
      <x:c r="AC64" s="36" t="n">
        <x:f>IF(AND(AC$5&gt;=$D64,AC$5&lt;=$E64),1,0)</x:f>
        <x:v>0</x:v>
      </x:c>
      <x:c r="AD64" s="36" t="n">
        <x:f>IF(AND(AD$5&gt;=$D64,AD$5&lt;=$E64),1,0)</x:f>
        <x:v>0</x:v>
      </x:c>
      <x:c r="AE64" s="36" t="n">
        <x:f>IF(AND(AE$5&gt;=$D64,AE$5&lt;=$E64),1,0)</x:f>
        <x:v>1</x:v>
      </x:c>
      <x:c r="AF64" s="36" t="n">
        <x:f>IF(AND(AF$5&gt;=$D64,AF$5&lt;=$E64),1,0)</x:f>
        <x:v>1</x:v>
      </x:c>
      <x:c r="AG64" s="36" t="n">
        <x:f>IF(AND(AG$5&gt;=$D64,AG$5&lt;=$E64),1,0)</x:f>
        <x:v>0</x:v>
      </x:c>
      <x:c r="AH64" s="36" t="n">
        <x:f>IF(AND(AH$5&gt;=$D64,AH$5&lt;=$E64),1,0)</x:f>
        <x:v>0</x:v>
      </x:c>
      <x:c r="AI64" s="36" t="n">
        <x:f>IF(AND(AI$5&gt;=$D64,AI$5&lt;=$E64),1,0)</x:f>
        <x:v>0</x:v>
      </x:c>
      <x:c r="AJ64" s="36" t="n">
        <x:f>IF(AND(AJ$5&gt;=$D64,AJ$5&lt;=$E64),1,0)</x:f>
        <x:v>0</x:v>
      </x:c>
      <x:c r="AK64" s="36" t="n">
        <x:f>IF(AND(AK$5&gt;=$D64,AK$5&lt;=$E64),1,0)</x:f>
        <x:v>0</x:v>
      </x:c>
      <x:c r="AL64" s="36" t="n">
        <x:f>IF(AND(AL$5&gt;=$D64,AL$5&lt;=$E64),1,0)</x:f>
        <x:v>0</x:v>
      </x:c>
      <x:c r="AM64" s="36" t="n">
        <x:f>IF(AND(AM$5&gt;=$D64,AM$5&lt;=$E64),1,0)</x:f>
        <x:v>0</x:v>
      </x:c>
      <x:c r="AN64" s="36" t="n">
        <x:f>IF(AND(AN$5&gt;=$D64,AN$5&lt;=$E64),1,0)</x:f>
        <x:v>0</x:v>
      </x:c>
      <x:c r="AO64" s="36" t="n">
        <x:f>IF(AND(AO$5&gt;=$D64,AO$5&lt;=$E64),1,0)</x:f>
        <x:v>0</x:v>
      </x:c>
      <x:c r="AP64" s="36" t="n">
        <x:f>IF(AND(AP$5&gt;=$D64,AP$5&lt;=$E64),1,0)</x:f>
        <x:v>0</x:v>
      </x:c>
      <x:c r="AQ64" s="36" t="n">
        <x:f>IF(AND(AQ$5&gt;=$D64,AQ$5&lt;=$E64),1,0)</x:f>
        <x:v>0</x:v>
      </x:c>
    </x:row>
    <x:row r="65" ht="38" customHeight="1">
      <x:c r="A65" s="9" t="str">
        <x:v>I02</x:v>
      </x:c>
      <x:c r="B65" s="9" t="str">
        <x:v>Run challenge and security tests</x:v>
      </x:c>
      <x:c r="C65" s="9" t="str">
        <x:v>SEC</x:v>
      </x:c>
      <x:c r="D65" s="9" t="n">
        <x:f>ROUNDUP('Tasks'!K65/5,0)</x:f>
        <x:v>24</x:v>
      </x:c>
      <x:c r="E65" s="9" t="n">
        <x:f>ROUNDUP('Tasks'!L65/5,0)</x:f>
        <x:v>25</x:v>
      </x:c>
      <x:c r="F65" s="9" t="str">
        <x:f>'Tasks'!R65</x:f>
        <x:v>Not started</x:v>
      </x:c>
      <x:c r="G65" s="37" t="n">
        <x:f>'Tasks'!S65</x:f>
        <x:v>0</x:v>
      </x:c>
      <x:c r="H65" s="38" t="n">
        <x:f>IF(AND(H$5&gt;=$D65,H$5&lt;=$E65),1,0)</x:f>
        <x:v>0</x:v>
      </x:c>
      <x:c r="I65" s="38" t="n">
        <x:f>IF(AND(I$5&gt;=$D65,I$5&lt;=$E65),1,0)</x:f>
        <x:v>0</x:v>
      </x:c>
      <x:c r="J65" s="38" t="n">
        <x:f>IF(AND(J$5&gt;=$D65,J$5&lt;=$E65),1,0)</x:f>
        <x:v>0</x:v>
      </x:c>
      <x:c r="K65" s="38" t="n">
        <x:f>IF(AND(K$5&gt;=$D65,K$5&lt;=$E65),1,0)</x:f>
        <x:v>0</x:v>
      </x:c>
      <x:c r="L65" s="38" t="n">
        <x:f>IF(AND(L$5&gt;=$D65,L$5&lt;=$E65),1,0)</x:f>
        <x:v>0</x:v>
      </x:c>
      <x:c r="M65" s="38" t="n">
        <x:f>IF(AND(M$5&gt;=$D65,M$5&lt;=$E65),1,0)</x:f>
        <x:v>0</x:v>
      </x:c>
      <x:c r="N65" s="38" t="n">
        <x:f>IF(AND(N$5&gt;=$D65,N$5&lt;=$E65),1,0)</x:f>
        <x:v>0</x:v>
      </x:c>
      <x:c r="O65" s="38" t="n">
        <x:f>IF(AND(O$5&gt;=$D65,O$5&lt;=$E65),1,0)</x:f>
        <x:v>0</x:v>
      </x:c>
      <x:c r="P65" s="38" t="n">
        <x:f>IF(AND(P$5&gt;=$D65,P$5&lt;=$E65),1,0)</x:f>
        <x:v>0</x:v>
      </x:c>
      <x:c r="Q65" s="38" t="n">
        <x:f>IF(AND(Q$5&gt;=$D65,Q$5&lt;=$E65),1,0)</x:f>
        <x:v>0</x:v>
      </x:c>
      <x:c r="R65" s="38" t="n">
        <x:f>IF(AND(R$5&gt;=$D65,R$5&lt;=$E65),1,0)</x:f>
        <x:v>0</x:v>
      </x:c>
      <x:c r="S65" s="38" t="n">
        <x:f>IF(AND(S$5&gt;=$D65,S$5&lt;=$E65),1,0)</x:f>
        <x:v>0</x:v>
      </x:c>
      <x:c r="T65" s="38" t="n">
        <x:f>IF(AND(T$5&gt;=$D65,T$5&lt;=$E65),1,0)</x:f>
        <x:v>0</x:v>
      </x:c>
      <x:c r="U65" s="38" t="n">
        <x:f>IF(AND(U$5&gt;=$D65,U$5&lt;=$E65),1,0)</x:f>
        <x:v>0</x:v>
      </x:c>
      <x:c r="V65" s="38" t="n">
        <x:f>IF(AND(V$5&gt;=$D65,V$5&lt;=$E65),1,0)</x:f>
        <x:v>0</x:v>
      </x:c>
      <x:c r="W65" s="38" t="n">
        <x:f>IF(AND(W$5&gt;=$D65,W$5&lt;=$E65),1,0)</x:f>
        <x:v>0</x:v>
      </x:c>
      <x:c r="X65" s="38" t="n">
        <x:f>IF(AND(X$5&gt;=$D65,X$5&lt;=$E65),1,0)</x:f>
        <x:v>0</x:v>
      </x:c>
      <x:c r="Y65" s="38" t="n">
        <x:f>IF(AND(Y$5&gt;=$D65,Y$5&lt;=$E65),1,0)</x:f>
        <x:v>0</x:v>
      </x:c>
      <x:c r="Z65" s="38" t="n">
        <x:f>IF(AND(Z$5&gt;=$D65,Z$5&lt;=$E65),1,0)</x:f>
        <x:v>0</x:v>
      </x:c>
      <x:c r="AA65" s="38" t="n">
        <x:f>IF(AND(AA$5&gt;=$D65,AA$5&lt;=$E65),1,0)</x:f>
        <x:v>0</x:v>
      </x:c>
      <x:c r="AB65" s="38" t="n">
        <x:f>IF(AND(AB$5&gt;=$D65,AB$5&lt;=$E65),1,0)</x:f>
        <x:v>0</x:v>
      </x:c>
      <x:c r="AC65" s="38" t="n">
        <x:f>IF(AND(AC$5&gt;=$D65,AC$5&lt;=$E65),1,0)</x:f>
        <x:v>0</x:v>
      </x:c>
      <x:c r="AD65" s="38" t="n">
        <x:f>IF(AND(AD$5&gt;=$D65,AD$5&lt;=$E65),1,0)</x:f>
        <x:v>0</x:v>
      </x:c>
      <x:c r="AE65" s="38" t="n">
        <x:f>IF(AND(AE$5&gt;=$D65,AE$5&lt;=$E65),1,0)</x:f>
        <x:v>1</x:v>
      </x:c>
      <x:c r="AF65" s="38" t="n">
        <x:f>IF(AND(AF$5&gt;=$D65,AF$5&lt;=$E65),1,0)</x:f>
        <x:v>1</x:v>
      </x:c>
      <x:c r="AG65" s="38" t="n">
        <x:f>IF(AND(AG$5&gt;=$D65,AG$5&lt;=$E65),1,0)</x:f>
        <x:v>0</x:v>
      </x:c>
      <x:c r="AH65" s="38" t="n">
        <x:f>IF(AND(AH$5&gt;=$D65,AH$5&lt;=$E65),1,0)</x:f>
        <x:v>0</x:v>
      </x:c>
      <x:c r="AI65" s="38" t="n">
        <x:f>IF(AND(AI$5&gt;=$D65,AI$5&lt;=$E65),1,0)</x:f>
        <x:v>0</x:v>
      </x:c>
      <x:c r="AJ65" s="38" t="n">
        <x:f>IF(AND(AJ$5&gt;=$D65,AJ$5&lt;=$E65),1,0)</x:f>
        <x:v>0</x:v>
      </x:c>
      <x:c r="AK65" s="38" t="n">
        <x:f>IF(AND(AK$5&gt;=$D65,AK$5&lt;=$E65),1,0)</x:f>
        <x:v>0</x:v>
      </x:c>
      <x:c r="AL65" s="38" t="n">
        <x:f>IF(AND(AL$5&gt;=$D65,AL$5&lt;=$E65),1,0)</x:f>
        <x:v>0</x:v>
      </x:c>
      <x:c r="AM65" s="38" t="n">
        <x:f>IF(AND(AM$5&gt;=$D65,AM$5&lt;=$E65),1,0)</x:f>
        <x:v>0</x:v>
      </x:c>
      <x:c r="AN65" s="38" t="n">
        <x:f>IF(AND(AN$5&gt;=$D65,AN$5&lt;=$E65),1,0)</x:f>
        <x:v>0</x:v>
      </x:c>
      <x:c r="AO65" s="38" t="n">
        <x:f>IF(AND(AO$5&gt;=$D65,AO$5&lt;=$E65),1,0)</x:f>
        <x:v>0</x:v>
      </x:c>
      <x:c r="AP65" s="38" t="n">
        <x:f>IF(AND(AP$5&gt;=$D65,AP$5&lt;=$E65),1,0)</x:f>
        <x:v>0</x:v>
      </x:c>
      <x:c r="AQ65" s="38" t="n">
        <x:f>IF(AND(AQ$5&gt;=$D65,AQ$5&lt;=$E65),1,0)</x:f>
        <x:v>0</x:v>
      </x:c>
    </x:row>
    <x:row r="66" ht="38" customHeight="1">
      <x:c r="A66" s="10" t="str">
        <x:v>I03</x:v>
      </x:c>
      <x:c r="B66" s="10" t="str">
        <x:v>Measure workload and reviewer efficiency</x:v>
      </x:c>
      <x:c r="C66" s="10" t="str">
        <x:v>HP</x:v>
      </x:c>
      <x:c r="D66" s="10" t="n">
        <x:f>ROUNDUP('Tasks'!K66/5,0)</x:f>
        <x:v>24</x:v>
      </x:c>
      <x:c r="E66" s="10" t="n">
        <x:f>ROUNDUP('Tasks'!L66/5,0)</x:f>
        <x:v>25</x:v>
      </x:c>
      <x:c r="F66" s="10" t="str">
        <x:f>'Tasks'!R66</x:f>
        <x:v>Not started</x:v>
      </x:c>
      <x:c r="G66" s="35" t="n">
        <x:f>'Tasks'!S66</x:f>
        <x:v>0</x:v>
      </x:c>
      <x:c r="H66" s="36" t="n">
        <x:f>IF(AND(H$5&gt;=$D66,H$5&lt;=$E66),1,0)</x:f>
        <x:v>0</x:v>
      </x:c>
      <x:c r="I66" s="36" t="n">
        <x:f>IF(AND(I$5&gt;=$D66,I$5&lt;=$E66),1,0)</x:f>
        <x:v>0</x:v>
      </x:c>
      <x:c r="J66" s="36" t="n">
        <x:f>IF(AND(J$5&gt;=$D66,J$5&lt;=$E66),1,0)</x:f>
        <x:v>0</x:v>
      </x:c>
      <x:c r="K66" s="36" t="n">
        <x:f>IF(AND(K$5&gt;=$D66,K$5&lt;=$E66),1,0)</x:f>
        <x:v>0</x:v>
      </x:c>
      <x:c r="L66" s="36" t="n">
        <x:f>IF(AND(L$5&gt;=$D66,L$5&lt;=$E66),1,0)</x:f>
        <x:v>0</x:v>
      </x:c>
      <x:c r="M66" s="36" t="n">
        <x:f>IF(AND(M$5&gt;=$D66,M$5&lt;=$E66),1,0)</x:f>
        <x:v>0</x:v>
      </x:c>
      <x:c r="N66" s="36" t="n">
        <x:f>IF(AND(N$5&gt;=$D66,N$5&lt;=$E66),1,0)</x:f>
        <x:v>0</x:v>
      </x:c>
      <x:c r="O66" s="36" t="n">
        <x:f>IF(AND(O$5&gt;=$D66,O$5&lt;=$E66),1,0)</x:f>
        <x:v>0</x:v>
      </x:c>
      <x:c r="P66" s="36" t="n">
        <x:f>IF(AND(P$5&gt;=$D66,P$5&lt;=$E66),1,0)</x:f>
        <x:v>0</x:v>
      </x:c>
      <x:c r="Q66" s="36" t="n">
        <x:f>IF(AND(Q$5&gt;=$D66,Q$5&lt;=$E66),1,0)</x:f>
        <x:v>0</x:v>
      </x:c>
      <x:c r="R66" s="36" t="n">
        <x:f>IF(AND(R$5&gt;=$D66,R$5&lt;=$E66),1,0)</x:f>
        <x:v>0</x:v>
      </x:c>
      <x:c r="S66" s="36" t="n">
        <x:f>IF(AND(S$5&gt;=$D66,S$5&lt;=$E66),1,0)</x:f>
        <x:v>0</x:v>
      </x:c>
      <x:c r="T66" s="36" t="n">
        <x:f>IF(AND(T$5&gt;=$D66,T$5&lt;=$E66),1,0)</x:f>
        <x:v>0</x:v>
      </x:c>
      <x:c r="U66" s="36" t="n">
        <x:f>IF(AND(U$5&gt;=$D66,U$5&lt;=$E66),1,0)</x:f>
        <x:v>0</x:v>
      </x:c>
      <x:c r="V66" s="36" t="n">
        <x:f>IF(AND(V$5&gt;=$D66,V$5&lt;=$E66),1,0)</x:f>
        <x:v>0</x:v>
      </x:c>
      <x:c r="W66" s="36" t="n">
        <x:f>IF(AND(W$5&gt;=$D66,W$5&lt;=$E66),1,0)</x:f>
        <x:v>0</x:v>
      </x:c>
      <x:c r="X66" s="36" t="n">
        <x:f>IF(AND(X$5&gt;=$D66,X$5&lt;=$E66),1,0)</x:f>
        <x:v>0</x:v>
      </x:c>
      <x:c r="Y66" s="36" t="n">
        <x:f>IF(AND(Y$5&gt;=$D66,Y$5&lt;=$E66),1,0)</x:f>
        <x:v>0</x:v>
      </x:c>
      <x:c r="Z66" s="36" t="n">
        <x:f>IF(AND(Z$5&gt;=$D66,Z$5&lt;=$E66),1,0)</x:f>
        <x:v>0</x:v>
      </x:c>
      <x:c r="AA66" s="36" t="n">
        <x:f>IF(AND(AA$5&gt;=$D66,AA$5&lt;=$E66),1,0)</x:f>
        <x:v>0</x:v>
      </x:c>
      <x:c r="AB66" s="36" t="n">
        <x:f>IF(AND(AB$5&gt;=$D66,AB$5&lt;=$E66),1,0)</x:f>
        <x:v>0</x:v>
      </x:c>
      <x:c r="AC66" s="36" t="n">
        <x:f>IF(AND(AC$5&gt;=$D66,AC$5&lt;=$E66),1,0)</x:f>
        <x:v>0</x:v>
      </x:c>
      <x:c r="AD66" s="36" t="n">
        <x:f>IF(AND(AD$5&gt;=$D66,AD$5&lt;=$E66),1,0)</x:f>
        <x:v>0</x:v>
      </x:c>
      <x:c r="AE66" s="36" t="n">
        <x:f>IF(AND(AE$5&gt;=$D66,AE$5&lt;=$E66),1,0)</x:f>
        <x:v>1</x:v>
      </x:c>
      <x:c r="AF66" s="36" t="n">
        <x:f>IF(AND(AF$5&gt;=$D66,AF$5&lt;=$E66),1,0)</x:f>
        <x:v>1</x:v>
      </x:c>
      <x:c r="AG66" s="36" t="n">
        <x:f>IF(AND(AG$5&gt;=$D66,AG$5&lt;=$E66),1,0)</x:f>
        <x:v>0</x:v>
      </x:c>
      <x:c r="AH66" s="36" t="n">
        <x:f>IF(AND(AH$5&gt;=$D66,AH$5&lt;=$E66),1,0)</x:f>
        <x:v>0</x:v>
      </x:c>
      <x:c r="AI66" s="36" t="n">
        <x:f>IF(AND(AI$5&gt;=$D66,AI$5&lt;=$E66),1,0)</x:f>
        <x:v>0</x:v>
      </x:c>
      <x:c r="AJ66" s="36" t="n">
        <x:f>IF(AND(AJ$5&gt;=$D66,AJ$5&lt;=$E66),1,0)</x:f>
        <x:v>0</x:v>
      </x:c>
      <x:c r="AK66" s="36" t="n">
        <x:f>IF(AND(AK$5&gt;=$D66,AK$5&lt;=$E66),1,0)</x:f>
        <x:v>0</x:v>
      </x:c>
      <x:c r="AL66" s="36" t="n">
        <x:f>IF(AND(AL$5&gt;=$D66,AL$5&lt;=$E66),1,0)</x:f>
        <x:v>0</x:v>
      </x:c>
      <x:c r="AM66" s="36" t="n">
        <x:f>IF(AND(AM$5&gt;=$D66,AM$5&lt;=$E66),1,0)</x:f>
        <x:v>0</x:v>
      </x:c>
      <x:c r="AN66" s="36" t="n">
        <x:f>IF(AND(AN$5&gt;=$D66,AN$5&lt;=$E66),1,0)</x:f>
        <x:v>0</x:v>
      </x:c>
      <x:c r="AO66" s="36" t="n">
        <x:f>IF(AND(AO$5&gt;=$D66,AO$5&lt;=$E66),1,0)</x:f>
        <x:v>0</x:v>
      </x:c>
      <x:c r="AP66" s="36" t="n">
        <x:f>IF(AND(AP$5&gt;=$D66,AP$5&lt;=$E66),1,0)</x:f>
        <x:v>0</x:v>
      </x:c>
      <x:c r="AQ66" s="36" t="n">
        <x:f>IF(AND(AQ$5&gt;=$D66,AQ$5&lt;=$E66),1,0)</x:f>
        <x:v>0</x:v>
      </x:c>
    </x:row>
    <x:row r="67" ht="38" customHeight="1">
      <x:c r="A67" s="9" t="str">
        <x:v>I04</x:v>
      </x:c>
      <x:c r="B67" s="9" t="str">
        <x:v>Remediate and prepare fresh evaluation cases</x:v>
      </x:c>
      <x:c r="C67" s="9" t="str">
        <x:v>AI</x:v>
      </x:c>
      <x:c r="D67" s="9" t="n">
        <x:f>ROUNDUP('Tasks'!K67/5,0)</x:f>
        <x:v>25</x:v>
      </x:c>
      <x:c r="E67" s="9" t="n">
        <x:f>ROUNDUP('Tasks'!L67/5,0)</x:f>
        <x:v>26</x:v>
      </x:c>
      <x:c r="F67" s="9" t="str">
        <x:f>'Tasks'!R67</x:f>
        <x:v>Not started</x:v>
      </x:c>
      <x:c r="G67" s="37" t="n">
        <x:f>'Tasks'!S67</x:f>
        <x:v>0</x:v>
      </x:c>
      <x:c r="H67" s="38" t="n">
        <x:f>IF(AND(H$5&gt;=$D67,H$5&lt;=$E67),1,0)</x:f>
        <x:v>0</x:v>
      </x:c>
      <x:c r="I67" s="38" t="n">
        <x:f>IF(AND(I$5&gt;=$D67,I$5&lt;=$E67),1,0)</x:f>
        <x:v>0</x:v>
      </x:c>
      <x:c r="J67" s="38" t="n">
        <x:f>IF(AND(J$5&gt;=$D67,J$5&lt;=$E67),1,0)</x:f>
        <x:v>0</x:v>
      </x:c>
      <x:c r="K67" s="38" t="n">
        <x:f>IF(AND(K$5&gt;=$D67,K$5&lt;=$E67),1,0)</x:f>
        <x:v>0</x:v>
      </x:c>
      <x:c r="L67" s="38" t="n">
        <x:f>IF(AND(L$5&gt;=$D67,L$5&lt;=$E67),1,0)</x:f>
        <x:v>0</x:v>
      </x:c>
      <x:c r="M67" s="38" t="n">
        <x:f>IF(AND(M$5&gt;=$D67,M$5&lt;=$E67),1,0)</x:f>
        <x:v>0</x:v>
      </x:c>
      <x:c r="N67" s="38" t="n">
        <x:f>IF(AND(N$5&gt;=$D67,N$5&lt;=$E67),1,0)</x:f>
        <x:v>0</x:v>
      </x:c>
      <x:c r="O67" s="38" t="n">
        <x:f>IF(AND(O$5&gt;=$D67,O$5&lt;=$E67),1,0)</x:f>
        <x:v>0</x:v>
      </x:c>
      <x:c r="P67" s="38" t="n">
        <x:f>IF(AND(P$5&gt;=$D67,P$5&lt;=$E67),1,0)</x:f>
        <x:v>0</x:v>
      </x:c>
      <x:c r="Q67" s="38" t="n">
        <x:f>IF(AND(Q$5&gt;=$D67,Q$5&lt;=$E67),1,0)</x:f>
        <x:v>0</x:v>
      </x:c>
      <x:c r="R67" s="38" t="n">
        <x:f>IF(AND(R$5&gt;=$D67,R$5&lt;=$E67),1,0)</x:f>
        <x:v>0</x:v>
      </x:c>
      <x:c r="S67" s="38" t="n">
        <x:f>IF(AND(S$5&gt;=$D67,S$5&lt;=$E67),1,0)</x:f>
        <x:v>0</x:v>
      </x:c>
      <x:c r="T67" s="38" t="n">
        <x:f>IF(AND(T$5&gt;=$D67,T$5&lt;=$E67),1,0)</x:f>
        <x:v>0</x:v>
      </x:c>
      <x:c r="U67" s="38" t="n">
        <x:f>IF(AND(U$5&gt;=$D67,U$5&lt;=$E67),1,0)</x:f>
        <x:v>0</x:v>
      </x:c>
      <x:c r="V67" s="38" t="n">
        <x:f>IF(AND(V$5&gt;=$D67,V$5&lt;=$E67),1,0)</x:f>
        <x:v>0</x:v>
      </x:c>
      <x:c r="W67" s="38" t="n">
        <x:f>IF(AND(W$5&gt;=$D67,W$5&lt;=$E67),1,0)</x:f>
        <x:v>0</x:v>
      </x:c>
      <x:c r="X67" s="38" t="n">
        <x:f>IF(AND(X$5&gt;=$D67,X$5&lt;=$E67),1,0)</x:f>
        <x:v>0</x:v>
      </x:c>
      <x:c r="Y67" s="38" t="n">
        <x:f>IF(AND(Y$5&gt;=$D67,Y$5&lt;=$E67),1,0)</x:f>
        <x:v>0</x:v>
      </x:c>
      <x:c r="Z67" s="38" t="n">
        <x:f>IF(AND(Z$5&gt;=$D67,Z$5&lt;=$E67),1,0)</x:f>
        <x:v>0</x:v>
      </x:c>
      <x:c r="AA67" s="38" t="n">
        <x:f>IF(AND(AA$5&gt;=$D67,AA$5&lt;=$E67),1,0)</x:f>
        <x:v>0</x:v>
      </x:c>
      <x:c r="AB67" s="38" t="n">
        <x:f>IF(AND(AB$5&gt;=$D67,AB$5&lt;=$E67),1,0)</x:f>
        <x:v>0</x:v>
      </x:c>
      <x:c r="AC67" s="38" t="n">
        <x:f>IF(AND(AC$5&gt;=$D67,AC$5&lt;=$E67),1,0)</x:f>
        <x:v>0</x:v>
      </x:c>
      <x:c r="AD67" s="38" t="n">
        <x:f>IF(AND(AD$5&gt;=$D67,AD$5&lt;=$E67),1,0)</x:f>
        <x:v>0</x:v>
      </x:c>
      <x:c r="AE67" s="38" t="n">
        <x:f>IF(AND(AE$5&gt;=$D67,AE$5&lt;=$E67),1,0)</x:f>
        <x:v>0</x:v>
      </x:c>
      <x:c r="AF67" s="38" t="n">
        <x:f>IF(AND(AF$5&gt;=$D67,AF$5&lt;=$E67),1,0)</x:f>
        <x:v>1</x:v>
      </x:c>
      <x:c r="AG67" s="38" t="n">
        <x:f>IF(AND(AG$5&gt;=$D67,AG$5&lt;=$E67),1,0)</x:f>
        <x:v>1</x:v>
      </x:c>
      <x:c r="AH67" s="38" t="n">
        <x:f>IF(AND(AH$5&gt;=$D67,AH$5&lt;=$E67),1,0)</x:f>
        <x:v>0</x:v>
      </x:c>
      <x:c r="AI67" s="38" t="n">
        <x:f>IF(AND(AI$5&gt;=$D67,AI$5&lt;=$E67),1,0)</x:f>
        <x:v>0</x:v>
      </x:c>
      <x:c r="AJ67" s="38" t="n">
        <x:f>IF(AND(AJ$5&gt;=$D67,AJ$5&lt;=$E67),1,0)</x:f>
        <x:v>0</x:v>
      </x:c>
      <x:c r="AK67" s="38" t="n">
        <x:f>IF(AND(AK$5&gt;=$D67,AK$5&lt;=$E67),1,0)</x:f>
        <x:v>0</x:v>
      </x:c>
      <x:c r="AL67" s="38" t="n">
        <x:f>IF(AND(AL$5&gt;=$D67,AL$5&lt;=$E67),1,0)</x:f>
        <x:v>0</x:v>
      </x:c>
      <x:c r="AM67" s="38" t="n">
        <x:f>IF(AND(AM$5&gt;=$D67,AM$5&lt;=$E67),1,0)</x:f>
        <x:v>0</x:v>
      </x:c>
      <x:c r="AN67" s="38" t="n">
        <x:f>IF(AND(AN$5&gt;=$D67,AN$5&lt;=$E67),1,0)</x:f>
        <x:v>0</x:v>
      </x:c>
      <x:c r="AO67" s="38" t="n">
        <x:f>IF(AND(AO$5&gt;=$D67,AO$5&lt;=$E67),1,0)</x:f>
        <x:v>0</x:v>
      </x:c>
      <x:c r="AP67" s="38" t="n">
        <x:f>IF(AND(AP$5&gt;=$D67,AP$5&lt;=$E67),1,0)</x:f>
        <x:v>0</x:v>
      </x:c>
      <x:c r="AQ67" s="38" t="n">
        <x:f>IF(AND(AQ$5&gt;=$D67,AQ$5&lt;=$E67),1,0)</x:f>
        <x:v>0</x:v>
      </x:c>
    </x:row>
    <x:row r="68" ht="38" customHeight="1">
      <x:c r="A68" s="10" t="str">
        <x:v>I05</x:v>
      </x:c>
      <x:c r="B68" s="10" t="str">
        <x:v>Test backup restore and rollback</x:v>
      </x:c>
      <x:c r="C68" s="10" t="str">
        <x:v>OPS</x:v>
      </x:c>
      <x:c r="D68" s="10" t="n">
        <x:f>ROUNDUP('Tasks'!K68/5,0)</x:f>
        <x:v>24</x:v>
      </x:c>
      <x:c r="E68" s="10" t="n">
        <x:f>ROUNDUP('Tasks'!L68/5,0)</x:f>
        <x:v>25</x:v>
      </x:c>
      <x:c r="F68" s="10" t="str">
        <x:f>'Tasks'!R68</x:f>
        <x:v>Not started</x:v>
      </x:c>
      <x:c r="G68" s="35" t="n">
        <x:f>'Tasks'!S68</x:f>
        <x:v>0</x:v>
      </x:c>
      <x:c r="H68" s="36" t="n">
        <x:f>IF(AND(H$5&gt;=$D68,H$5&lt;=$E68),1,0)</x:f>
        <x:v>0</x:v>
      </x:c>
      <x:c r="I68" s="36" t="n">
        <x:f>IF(AND(I$5&gt;=$D68,I$5&lt;=$E68),1,0)</x:f>
        <x:v>0</x:v>
      </x:c>
      <x:c r="J68" s="36" t="n">
        <x:f>IF(AND(J$5&gt;=$D68,J$5&lt;=$E68),1,0)</x:f>
        <x:v>0</x:v>
      </x:c>
      <x:c r="K68" s="36" t="n">
        <x:f>IF(AND(K$5&gt;=$D68,K$5&lt;=$E68),1,0)</x:f>
        <x:v>0</x:v>
      </x:c>
      <x:c r="L68" s="36" t="n">
        <x:f>IF(AND(L$5&gt;=$D68,L$5&lt;=$E68),1,0)</x:f>
        <x:v>0</x:v>
      </x:c>
      <x:c r="M68" s="36" t="n">
        <x:f>IF(AND(M$5&gt;=$D68,M$5&lt;=$E68),1,0)</x:f>
        <x:v>0</x:v>
      </x:c>
      <x:c r="N68" s="36" t="n">
        <x:f>IF(AND(N$5&gt;=$D68,N$5&lt;=$E68),1,0)</x:f>
        <x:v>0</x:v>
      </x:c>
      <x:c r="O68" s="36" t="n">
        <x:f>IF(AND(O$5&gt;=$D68,O$5&lt;=$E68),1,0)</x:f>
        <x:v>0</x:v>
      </x:c>
      <x:c r="P68" s="36" t="n">
        <x:f>IF(AND(P$5&gt;=$D68,P$5&lt;=$E68),1,0)</x:f>
        <x:v>0</x:v>
      </x:c>
      <x:c r="Q68" s="36" t="n">
        <x:f>IF(AND(Q$5&gt;=$D68,Q$5&lt;=$E68),1,0)</x:f>
        <x:v>0</x:v>
      </x:c>
      <x:c r="R68" s="36" t="n">
        <x:f>IF(AND(R$5&gt;=$D68,R$5&lt;=$E68),1,0)</x:f>
        <x:v>0</x:v>
      </x:c>
      <x:c r="S68" s="36" t="n">
        <x:f>IF(AND(S$5&gt;=$D68,S$5&lt;=$E68),1,0)</x:f>
        <x:v>0</x:v>
      </x:c>
      <x:c r="T68" s="36" t="n">
        <x:f>IF(AND(T$5&gt;=$D68,T$5&lt;=$E68),1,0)</x:f>
        <x:v>0</x:v>
      </x:c>
      <x:c r="U68" s="36" t="n">
        <x:f>IF(AND(U$5&gt;=$D68,U$5&lt;=$E68),1,0)</x:f>
        <x:v>0</x:v>
      </x:c>
      <x:c r="V68" s="36" t="n">
        <x:f>IF(AND(V$5&gt;=$D68,V$5&lt;=$E68),1,0)</x:f>
        <x:v>0</x:v>
      </x:c>
      <x:c r="W68" s="36" t="n">
        <x:f>IF(AND(W$5&gt;=$D68,W$5&lt;=$E68),1,0)</x:f>
        <x:v>0</x:v>
      </x:c>
      <x:c r="X68" s="36" t="n">
        <x:f>IF(AND(X$5&gt;=$D68,X$5&lt;=$E68),1,0)</x:f>
        <x:v>0</x:v>
      </x:c>
      <x:c r="Y68" s="36" t="n">
        <x:f>IF(AND(Y$5&gt;=$D68,Y$5&lt;=$E68),1,0)</x:f>
        <x:v>0</x:v>
      </x:c>
      <x:c r="Z68" s="36" t="n">
        <x:f>IF(AND(Z$5&gt;=$D68,Z$5&lt;=$E68),1,0)</x:f>
        <x:v>0</x:v>
      </x:c>
      <x:c r="AA68" s="36" t="n">
        <x:f>IF(AND(AA$5&gt;=$D68,AA$5&lt;=$E68),1,0)</x:f>
        <x:v>0</x:v>
      </x:c>
      <x:c r="AB68" s="36" t="n">
        <x:f>IF(AND(AB$5&gt;=$D68,AB$5&lt;=$E68),1,0)</x:f>
        <x:v>0</x:v>
      </x:c>
      <x:c r="AC68" s="36" t="n">
        <x:f>IF(AND(AC$5&gt;=$D68,AC$5&lt;=$E68),1,0)</x:f>
        <x:v>0</x:v>
      </x:c>
      <x:c r="AD68" s="36" t="n">
        <x:f>IF(AND(AD$5&gt;=$D68,AD$5&lt;=$E68),1,0)</x:f>
        <x:v>0</x:v>
      </x:c>
      <x:c r="AE68" s="36" t="n">
        <x:f>IF(AND(AE$5&gt;=$D68,AE$5&lt;=$E68),1,0)</x:f>
        <x:v>1</x:v>
      </x:c>
      <x:c r="AF68" s="36" t="n">
        <x:f>IF(AND(AF$5&gt;=$D68,AF$5&lt;=$E68),1,0)</x:f>
        <x:v>1</x:v>
      </x:c>
      <x:c r="AG68" s="36" t="n">
        <x:f>IF(AND(AG$5&gt;=$D68,AG$5&lt;=$E68),1,0)</x:f>
        <x:v>0</x:v>
      </x:c>
      <x:c r="AH68" s="36" t="n">
        <x:f>IF(AND(AH$5&gt;=$D68,AH$5&lt;=$E68),1,0)</x:f>
        <x:v>0</x:v>
      </x:c>
      <x:c r="AI68" s="36" t="n">
        <x:f>IF(AND(AI$5&gt;=$D68,AI$5&lt;=$E68),1,0)</x:f>
        <x:v>0</x:v>
      </x:c>
      <x:c r="AJ68" s="36" t="n">
        <x:f>IF(AND(AJ$5&gt;=$D68,AJ$5&lt;=$E68),1,0)</x:f>
        <x:v>0</x:v>
      </x:c>
      <x:c r="AK68" s="36" t="n">
        <x:f>IF(AND(AK$5&gt;=$D68,AK$5&lt;=$E68),1,0)</x:f>
        <x:v>0</x:v>
      </x:c>
      <x:c r="AL68" s="36" t="n">
        <x:f>IF(AND(AL$5&gt;=$D68,AL$5&lt;=$E68),1,0)</x:f>
        <x:v>0</x:v>
      </x:c>
      <x:c r="AM68" s="36" t="n">
        <x:f>IF(AND(AM$5&gt;=$D68,AM$5&lt;=$E68),1,0)</x:f>
        <x:v>0</x:v>
      </x:c>
      <x:c r="AN68" s="36" t="n">
        <x:f>IF(AND(AN$5&gt;=$D68,AN$5&lt;=$E68),1,0)</x:f>
        <x:v>0</x:v>
      </x:c>
      <x:c r="AO68" s="36" t="n">
        <x:f>IF(AND(AO$5&gt;=$D68,AO$5&lt;=$E68),1,0)</x:f>
        <x:v>0</x:v>
      </x:c>
      <x:c r="AP68" s="36" t="n">
        <x:f>IF(AND(AP$5&gt;=$D68,AP$5&lt;=$E68),1,0)</x:f>
        <x:v>0</x:v>
      </x:c>
      <x:c r="AQ68" s="36" t="n">
        <x:f>IF(AND(AQ$5&gt;=$D68,AQ$5&lt;=$E68),1,0)</x:f>
        <x:v>0</x:v>
      </x:c>
    </x:row>
    <x:row r="69" ht="38" customHeight="1">
      <x:c r="A69" s="9" t="str">
        <x:v>I06</x:v>
      </x:c>
      <x:c r="B69" s="9" t="str">
        <x:v>Sign technical security and release records</x:v>
      </x:c>
      <x:c r="C69" s="9" t="str">
        <x:v>HP</x:v>
      </x:c>
      <x:c r="D69" s="9" t="n">
        <x:f>ROUNDUP('Tasks'!K69/5,0)</x:f>
        <x:v>26</x:v>
      </x:c>
      <x:c r="E69" s="9" t="n">
        <x:f>ROUNDUP('Tasks'!L69/5,0)</x:f>
        <x:v>27</x:v>
      </x:c>
      <x:c r="F69" s="9" t="str">
        <x:f>'Tasks'!R69</x:f>
        <x:v>Not started</x:v>
      </x:c>
      <x:c r="G69" s="37" t="n">
        <x:f>'Tasks'!S69</x:f>
        <x:v>0</x:v>
      </x:c>
      <x:c r="H69" s="38" t="n">
        <x:f>IF(AND(H$5&gt;=$D69,H$5&lt;=$E69),1,0)</x:f>
        <x:v>0</x:v>
      </x:c>
      <x:c r="I69" s="38" t="n">
        <x:f>IF(AND(I$5&gt;=$D69,I$5&lt;=$E69),1,0)</x:f>
        <x:v>0</x:v>
      </x:c>
      <x:c r="J69" s="38" t="n">
        <x:f>IF(AND(J$5&gt;=$D69,J$5&lt;=$E69),1,0)</x:f>
        <x:v>0</x:v>
      </x:c>
      <x:c r="K69" s="38" t="n">
        <x:f>IF(AND(K$5&gt;=$D69,K$5&lt;=$E69),1,0)</x:f>
        <x:v>0</x:v>
      </x:c>
      <x:c r="L69" s="38" t="n">
        <x:f>IF(AND(L$5&gt;=$D69,L$5&lt;=$E69),1,0)</x:f>
        <x:v>0</x:v>
      </x:c>
      <x:c r="M69" s="38" t="n">
        <x:f>IF(AND(M$5&gt;=$D69,M$5&lt;=$E69),1,0)</x:f>
        <x:v>0</x:v>
      </x:c>
      <x:c r="N69" s="38" t="n">
        <x:f>IF(AND(N$5&gt;=$D69,N$5&lt;=$E69),1,0)</x:f>
        <x:v>0</x:v>
      </x:c>
      <x:c r="O69" s="38" t="n">
        <x:f>IF(AND(O$5&gt;=$D69,O$5&lt;=$E69),1,0)</x:f>
        <x:v>0</x:v>
      </x:c>
      <x:c r="P69" s="38" t="n">
        <x:f>IF(AND(P$5&gt;=$D69,P$5&lt;=$E69),1,0)</x:f>
        <x:v>0</x:v>
      </x:c>
      <x:c r="Q69" s="38" t="n">
        <x:f>IF(AND(Q$5&gt;=$D69,Q$5&lt;=$E69),1,0)</x:f>
        <x:v>0</x:v>
      </x:c>
      <x:c r="R69" s="38" t="n">
        <x:f>IF(AND(R$5&gt;=$D69,R$5&lt;=$E69),1,0)</x:f>
        <x:v>0</x:v>
      </x:c>
      <x:c r="S69" s="38" t="n">
        <x:f>IF(AND(S$5&gt;=$D69,S$5&lt;=$E69),1,0)</x:f>
        <x:v>0</x:v>
      </x:c>
      <x:c r="T69" s="38" t="n">
        <x:f>IF(AND(T$5&gt;=$D69,T$5&lt;=$E69),1,0)</x:f>
        <x:v>0</x:v>
      </x:c>
      <x:c r="U69" s="38" t="n">
        <x:f>IF(AND(U$5&gt;=$D69,U$5&lt;=$E69),1,0)</x:f>
        <x:v>0</x:v>
      </x:c>
      <x:c r="V69" s="38" t="n">
        <x:f>IF(AND(V$5&gt;=$D69,V$5&lt;=$E69),1,0)</x:f>
        <x:v>0</x:v>
      </x:c>
      <x:c r="W69" s="38" t="n">
        <x:f>IF(AND(W$5&gt;=$D69,W$5&lt;=$E69),1,0)</x:f>
        <x:v>0</x:v>
      </x:c>
      <x:c r="X69" s="38" t="n">
        <x:f>IF(AND(X$5&gt;=$D69,X$5&lt;=$E69),1,0)</x:f>
        <x:v>0</x:v>
      </x:c>
      <x:c r="Y69" s="38" t="n">
        <x:f>IF(AND(Y$5&gt;=$D69,Y$5&lt;=$E69),1,0)</x:f>
        <x:v>0</x:v>
      </x:c>
      <x:c r="Z69" s="38" t="n">
        <x:f>IF(AND(Z$5&gt;=$D69,Z$5&lt;=$E69),1,0)</x:f>
        <x:v>0</x:v>
      </x:c>
      <x:c r="AA69" s="38" t="n">
        <x:f>IF(AND(AA$5&gt;=$D69,AA$5&lt;=$E69),1,0)</x:f>
        <x:v>0</x:v>
      </x:c>
      <x:c r="AB69" s="38" t="n">
        <x:f>IF(AND(AB$5&gt;=$D69,AB$5&lt;=$E69),1,0)</x:f>
        <x:v>0</x:v>
      </x:c>
      <x:c r="AC69" s="38" t="n">
        <x:f>IF(AND(AC$5&gt;=$D69,AC$5&lt;=$E69),1,0)</x:f>
        <x:v>0</x:v>
      </x:c>
      <x:c r="AD69" s="38" t="n">
        <x:f>IF(AND(AD$5&gt;=$D69,AD$5&lt;=$E69),1,0)</x:f>
        <x:v>0</x:v>
      </x:c>
      <x:c r="AE69" s="38" t="n">
        <x:f>IF(AND(AE$5&gt;=$D69,AE$5&lt;=$E69),1,0)</x:f>
        <x:v>0</x:v>
      </x:c>
      <x:c r="AF69" s="38" t="n">
        <x:f>IF(AND(AF$5&gt;=$D69,AF$5&lt;=$E69),1,0)</x:f>
        <x:v>0</x:v>
      </x:c>
      <x:c r="AG69" s="38" t="n">
        <x:f>IF(AND(AG$5&gt;=$D69,AG$5&lt;=$E69),1,0)</x:f>
        <x:v>1</x:v>
      </x:c>
      <x:c r="AH69" s="38" t="n">
        <x:f>IF(AND(AH$5&gt;=$D69,AH$5&lt;=$E69),1,0)</x:f>
        <x:v>1</x:v>
      </x:c>
      <x:c r="AI69" s="38" t="n">
        <x:f>IF(AND(AI$5&gt;=$D69,AI$5&lt;=$E69),1,0)</x:f>
        <x:v>0</x:v>
      </x:c>
      <x:c r="AJ69" s="38" t="n">
        <x:f>IF(AND(AJ$5&gt;=$D69,AJ$5&lt;=$E69),1,0)</x:f>
        <x:v>0</x:v>
      </x:c>
      <x:c r="AK69" s="38" t="n">
        <x:f>IF(AND(AK$5&gt;=$D69,AK$5&lt;=$E69),1,0)</x:f>
        <x:v>0</x:v>
      </x:c>
      <x:c r="AL69" s="38" t="n">
        <x:f>IF(AND(AL$5&gt;=$D69,AL$5&lt;=$E69),1,0)</x:f>
        <x:v>0</x:v>
      </x:c>
      <x:c r="AM69" s="38" t="n">
        <x:f>IF(AND(AM$5&gt;=$D69,AM$5&lt;=$E69),1,0)</x:f>
        <x:v>0</x:v>
      </x:c>
      <x:c r="AN69" s="38" t="n">
        <x:f>IF(AND(AN$5&gt;=$D69,AN$5&lt;=$E69),1,0)</x:f>
        <x:v>0</x:v>
      </x:c>
      <x:c r="AO69" s="38" t="n">
        <x:f>IF(AND(AO$5&gt;=$D69,AO$5&lt;=$E69),1,0)</x:f>
        <x:v>0</x:v>
      </x:c>
      <x:c r="AP69" s="38" t="n">
        <x:f>IF(AND(AP$5&gt;=$D69,AP$5&lt;=$E69),1,0)</x:f>
        <x:v>0</x:v>
      </x:c>
      <x:c r="AQ69" s="38" t="n">
        <x:f>IF(AND(AQ$5&gt;=$D69,AQ$5&lt;=$E69),1,0)</x:f>
        <x:v>0</x:v>
      </x:c>
    </x:row>
    <x:row r="70" ht="38" customHeight="1">
      <x:c r="A70" s="10" t="str">
        <x:v>G4</x:v>
      </x:c>
      <x:c r="B70" s="10" t="str">
        <x:v>G4 authorize supervised internal pilot</x:v>
      </x:c>
      <x:c r="C70" s="10" t="str">
        <x:v>MD</x:v>
      </x:c>
      <x:c r="D70" s="10" t="n">
        <x:f>ROUNDUP('Tasks'!K70/5,0)</x:f>
        <x:v>27</x:v>
      </x:c>
      <x:c r="E70" s="10" t="n">
        <x:f>ROUNDUP('Tasks'!L70/5,0)</x:f>
        <x:v>27</x:v>
      </x:c>
      <x:c r="F70" s="10" t="str">
        <x:f>'Tasks'!R70</x:f>
        <x:v>Not started</x:v>
      </x:c>
      <x:c r="G70" s="35" t="n">
        <x:f>'Tasks'!S70</x:f>
        <x:v>0</x:v>
      </x:c>
      <x:c r="H70" s="36" t="n">
        <x:f>IF(AND(H$5&gt;=$D70,H$5&lt;=$E70),1,0)</x:f>
        <x:v>0</x:v>
      </x:c>
      <x:c r="I70" s="36" t="n">
        <x:f>IF(AND(I$5&gt;=$D70,I$5&lt;=$E70),1,0)</x:f>
        <x:v>0</x:v>
      </x:c>
      <x:c r="J70" s="36" t="n">
        <x:f>IF(AND(J$5&gt;=$D70,J$5&lt;=$E70),1,0)</x:f>
        <x:v>0</x:v>
      </x:c>
      <x:c r="K70" s="36" t="n">
        <x:f>IF(AND(K$5&gt;=$D70,K$5&lt;=$E70),1,0)</x:f>
        <x:v>0</x:v>
      </x:c>
      <x:c r="L70" s="36" t="n">
        <x:f>IF(AND(L$5&gt;=$D70,L$5&lt;=$E70),1,0)</x:f>
        <x:v>0</x:v>
      </x:c>
      <x:c r="M70" s="36" t="n">
        <x:f>IF(AND(M$5&gt;=$D70,M$5&lt;=$E70),1,0)</x:f>
        <x:v>0</x:v>
      </x:c>
      <x:c r="N70" s="36" t="n">
        <x:f>IF(AND(N$5&gt;=$D70,N$5&lt;=$E70),1,0)</x:f>
        <x:v>0</x:v>
      </x:c>
      <x:c r="O70" s="36" t="n">
        <x:f>IF(AND(O$5&gt;=$D70,O$5&lt;=$E70),1,0)</x:f>
        <x:v>0</x:v>
      </x:c>
      <x:c r="P70" s="36" t="n">
        <x:f>IF(AND(P$5&gt;=$D70,P$5&lt;=$E70),1,0)</x:f>
        <x:v>0</x:v>
      </x:c>
      <x:c r="Q70" s="36" t="n">
        <x:f>IF(AND(Q$5&gt;=$D70,Q$5&lt;=$E70),1,0)</x:f>
        <x:v>0</x:v>
      </x:c>
      <x:c r="R70" s="36" t="n">
        <x:f>IF(AND(R$5&gt;=$D70,R$5&lt;=$E70),1,0)</x:f>
        <x:v>0</x:v>
      </x:c>
      <x:c r="S70" s="36" t="n">
        <x:f>IF(AND(S$5&gt;=$D70,S$5&lt;=$E70),1,0)</x:f>
        <x:v>0</x:v>
      </x:c>
      <x:c r="T70" s="36" t="n">
        <x:f>IF(AND(T$5&gt;=$D70,T$5&lt;=$E70),1,0)</x:f>
        <x:v>0</x:v>
      </x:c>
      <x:c r="U70" s="36" t="n">
        <x:f>IF(AND(U$5&gt;=$D70,U$5&lt;=$E70),1,0)</x:f>
        <x:v>0</x:v>
      </x:c>
      <x:c r="V70" s="36" t="n">
        <x:f>IF(AND(V$5&gt;=$D70,V$5&lt;=$E70),1,0)</x:f>
        <x:v>0</x:v>
      </x:c>
      <x:c r="W70" s="36" t="n">
        <x:f>IF(AND(W$5&gt;=$D70,W$5&lt;=$E70),1,0)</x:f>
        <x:v>0</x:v>
      </x:c>
      <x:c r="X70" s="36" t="n">
        <x:f>IF(AND(X$5&gt;=$D70,X$5&lt;=$E70),1,0)</x:f>
        <x:v>0</x:v>
      </x:c>
      <x:c r="Y70" s="36" t="n">
        <x:f>IF(AND(Y$5&gt;=$D70,Y$5&lt;=$E70),1,0)</x:f>
        <x:v>0</x:v>
      </x:c>
      <x:c r="Z70" s="36" t="n">
        <x:f>IF(AND(Z$5&gt;=$D70,Z$5&lt;=$E70),1,0)</x:f>
        <x:v>0</x:v>
      </x:c>
      <x:c r="AA70" s="36" t="n">
        <x:f>IF(AND(AA$5&gt;=$D70,AA$5&lt;=$E70),1,0)</x:f>
        <x:v>0</x:v>
      </x:c>
      <x:c r="AB70" s="36" t="n">
        <x:f>IF(AND(AB$5&gt;=$D70,AB$5&lt;=$E70),1,0)</x:f>
        <x:v>0</x:v>
      </x:c>
      <x:c r="AC70" s="36" t="n">
        <x:f>IF(AND(AC$5&gt;=$D70,AC$5&lt;=$E70),1,0)</x:f>
        <x:v>0</x:v>
      </x:c>
      <x:c r="AD70" s="36" t="n">
        <x:f>IF(AND(AD$5&gt;=$D70,AD$5&lt;=$E70),1,0)</x:f>
        <x:v>0</x:v>
      </x:c>
      <x:c r="AE70" s="36" t="n">
        <x:f>IF(AND(AE$5&gt;=$D70,AE$5&lt;=$E70),1,0)</x:f>
        <x:v>0</x:v>
      </x:c>
      <x:c r="AF70" s="36" t="n">
        <x:f>IF(AND(AF$5&gt;=$D70,AF$5&lt;=$E70),1,0)</x:f>
        <x:v>0</x:v>
      </x:c>
      <x:c r="AG70" s="36" t="n">
        <x:f>IF(AND(AG$5&gt;=$D70,AG$5&lt;=$E70),1,0)</x:f>
        <x:v>0</x:v>
      </x:c>
      <x:c r="AH70" s="36" t="n">
        <x:f>IF(AND(AH$5&gt;=$D70,AH$5&lt;=$E70),1,0)</x:f>
        <x:v>1</x:v>
      </x:c>
      <x:c r="AI70" s="36" t="n">
        <x:f>IF(AND(AI$5&gt;=$D70,AI$5&lt;=$E70),1,0)</x:f>
        <x:v>0</x:v>
      </x:c>
      <x:c r="AJ70" s="36" t="n">
        <x:f>IF(AND(AJ$5&gt;=$D70,AJ$5&lt;=$E70),1,0)</x:f>
        <x:v>0</x:v>
      </x:c>
      <x:c r="AK70" s="36" t="n">
        <x:f>IF(AND(AK$5&gt;=$D70,AK$5&lt;=$E70),1,0)</x:f>
        <x:v>0</x:v>
      </x:c>
      <x:c r="AL70" s="36" t="n">
        <x:f>IF(AND(AL$5&gt;=$D70,AL$5&lt;=$E70),1,0)</x:f>
        <x:v>0</x:v>
      </x:c>
      <x:c r="AM70" s="36" t="n">
        <x:f>IF(AND(AM$5&gt;=$D70,AM$5&lt;=$E70),1,0)</x:f>
        <x:v>0</x:v>
      </x:c>
      <x:c r="AN70" s="36" t="n">
        <x:f>IF(AND(AN$5&gt;=$D70,AN$5&lt;=$E70),1,0)</x:f>
        <x:v>0</x:v>
      </x:c>
      <x:c r="AO70" s="36" t="n">
        <x:f>IF(AND(AO$5&gt;=$D70,AO$5&lt;=$E70),1,0)</x:f>
        <x:v>0</x:v>
      </x:c>
      <x:c r="AP70" s="36" t="n">
        <x:f>IF(AND(AP$5&gt;=$D70,AP$5&lt;=$E70),1,0)</x:f>
        <x:v>0</x:v>
      </x:c>
      <x:c r="AQ70" s="36" t="n">
        <x:f>IF(AND(AQ$5&gt;=$D70,AQ$5&lt;=$E70),1,0)</x:f>
        <x:v>0</x:v>
      </x:c>
    </x:row>
    <x:row r="71" ht="38" customHeight="1">
      <x:c r="A71" s="9" t="str">
        <x:v>J01</x:v>
      </x:c>
      <x:c r="B71" s="9" t="str">
        <x:v>Onboard ten internal pilot users</x:v>
      </x:c>
      <x:c r="C71" s="9" t="str">
        <x:v>CD</x:v>
      </x:c>
      <x:c r="D71" s="9" t="n">
        <x:f>ROUNDUP('Tasks'!K71/5,0)</x:f>
        <x:v>27</x:v>
      </x:c>
      <x:c r="E71" s="9" t="n">
        <x:f>ROUNDUP('Tasks'!L71/5,0)</x:f>
        <x:v>28</x:v>
      </x:c>
      <x:c r="F71" s="9" t="str">
        <x:f>'Tasks'!R71</x:f>
        <x:v>Not started</x:v>
      </x:c>
      <x:c r="G71" s="37" t="n">
        <x:f>'Tasks'!S71</x:f>
        <x:v>0</x:v>
      </x:c>
      <x:c r="H71" s="38" t="n">
        <x:f>IF(AND(H$5&gt;=$D71,H$5&lt;=$E71),1,0)</x:f>
        <x:v>0</x:v>
      </x:c>
      <x:c r="I71" s="38" t="n">
        <x:f>IF(AND(I$5&gt;=$D71,I$5&lt;=$E71),1,0)</x:f>
        <x:v>0</x:v>
      </x:c>
      <x:c r="J71" s="38" t="n">
        <x:f>IF(AND(J$5&gt;=$D71,J$5&lt;=$E71),1,0)</x:f>
        <x:v>0</x:v>
      </x:c>
      <x:c r="K71" s="38" t="n">
        <x:f>IF(AND(K$5&gt;=$D71,K$5&lt;=$E71),1,0)</x:f>
        <x:v>0</x:v>
      </x:c>
      <x:c r="L71" s="38" t="n">
        <x:f>IF(AND(L$5&gt;=$D71,L$5&lt;=$E71),1,0)</x:f>
        <x:v>0</x:v>
      </x:c>
      <x:c r="M71" s="38" t="n">
        <x:f>IF(AND(M$5&gt;=$D71,M$5&lt;=$E71),1,0)</x:f>
        <x:v>0</x:v>
      </x:c>
      <x:c r="N71" s="38" t="n">
        <x:f>IF(AND(N$5&gt;=$D71,N$5&lt;=$E71),1,0)</x:f>
        <x:v>0</x:v>
      </x:c>
      <x:c r="O71" s="38" t="n">
        <x:f>IF(AND(O$5&gt;=$D71,O$5&lt;=$E71),1,0)</x:f>
        <x:v>0</x:v>
      </x:c>
      <x:c r="P71" s="38" t="n">
        <x:f>IF(AND(P$5&gt;=$D71,P$5&lt;=$E71),1,0)</x:f>
        <x:v>0</x:v>
      </x:c>
      <x:c r="Q71" s="38" t="n">
        <x:f>IF(AND(Q$5&gt;=$D71,Q$5&lt;=$E71),1,0)</x:f>
        <x:v>0</x:v>
      </x:c>
      <x:c r="R71" s="38" t="n">
        <x:f>IF(AND(R$5&gt;=$D71,R$5&lt;=$E71),1,0)</x:f>
        <x:v>0</x:v>
      </x:c>
      <x:c r="S71" s="38" t="n">
        <x:f>IF(AND(S$5&gt;=$D71,S$5&lt;=$E71),1,0)</x:f>
        <x:v>0</x:v>
      </x:c>
      <x:c r="T71" s="38" t="n">
        <x:f>IF(AND(T$5&gt;=$D71,T$5&lt;=$E71),1,0)</x:f>
        <x:v>0</x:v>
      </x:c>
      <x:c r="U71" s="38" t="n">
        <x:f>IF(AND(U$5&gt;=$D71,U$5&lt;=$E71),1,0)</x:f>
        <x:v>0</x:v>
      </x:c>
      <x:c r="V71" s="38" t="n">
        <x:f>IF(AND(V$5&gt;=$D71,V$5&lt;=$E71),1,0)</x:f>
        <x:v>0</x:v>
      </x:c>
      <x:c r="W71" s="38" t="n">
        <x:f>IF(AND(W$5&gt;=$D71,W$5&lt;=$E71),1,0)</x:f>
        <x:v>0</x:v>
      </x:c>
      <x:c r="X71" s="38" t="n">
        <x:f>IF(AND(X$5&gt;=$D71,X$5&lt;=$E71),1,0)</x:f>
        <x:v>0</x:v>
      </x:c>
      <x:c r="Y71" s="38" t="n">
        <x:f>IF(AND(Y$5&gt;=$D71,Y$5&lt;=$E71),1,0)</x:f>
        <x:v>0</x:v>
      </x:c>
      <x:c r="Z71" s="38" t="n">
        <x:f>IF(AND(Z$5&gt;=$D71,Z$5&lt;=$E71),1,0)</x:f>
        <x:v>0</x:v>
      </x:c>
      <x:c r="AA71" s="38" t="n">
        <x:f>IF(AND(AA$5&gt;=$D71,AA$5&lt;=$E71),1,0)</x:f>
        <x:v>0</x:v>
      </x:c>
      <x:c r="AB71" s="38" t="n">
        <x:f>IF(AND(AB$5&gt;=$D71,AB$5&lt;=$E71),1,0)</x:f>
        <x:v>0</x:v>
      </x:c>
      <x:c r="AC71" s="38" t="n">
        <x:f>IF(AND(AC$5&gt;=$D71,AC$5&lt;=$E71),1,0)</x:f>
        <x:v>0</x:v>
      </x:c>
      <x:c r="AD71" s="38" t="n">
        <x:f>IF(AND(AD$5&gt;=$D71,AD$5&lt;=$E71),1,0)</x:f>
        <x:v>0</x:v>
      </x:c>
      <x:c r="AE71" s="38" t="n">
        <x:f>IF(AND(AE$5&gt;=$D71,AE$5&lt;=$E71),1,0)</x:f>
        <x:v>0</x:v>
      </x:c>
      <x:c r="AF71" s="38" t="n">
        <x:f>IF(AND(AF$5&gt;=$D71,AF$5&lt;=$E71),1,0)</x:f>
        <x:v>0</x:v>
      </x:c>
      <x:c r="AG71" s="38" t="n">
        <x:f>IF(AND(AG$5&gt;=$D71,AG$5&lt;=$E71),1,0)</x:f>
        <x:v>0</x:v>
      </x:c>
      <x:c r="AH71" s="38" t="n">
        <x:f>IF(AND(AH$5&gt;=$D71,AH$5&lt;=$E71),1,0)</x:f>
        <x:v>1</x:v>
      </x:c>
      <x:c r="AI71" s="38" t="n">
        <x:f>IF(AND(AI$5&gt;=$D71,AI$5&lt;=$E71),1,0)</x:f>
        <x:v>1</x:v>
      </x:c>
      <x:c r="AJ71" s="38" t="n">
        <x:f>IF(AND(AJ$5&gt;=$D71,AJ$5&lt;=$E71),1,0)</x:f>
        <x:v>0</x:v>
      </x:c>
      <x:c r="AK71" s="38" t="n">
        <x:f>IF(AND(AK$5&gt;=$D71,AK$5&lt;=$E71),1,0)</x:f>
        <x:v>0</x:v>
      </x:c>
      <x:c r="AL71" s="38" t="n">
        <x:f>IF(AND(AL$5&gt;=$D71,AL$5&lt;=$E71),1,0)</x:f>
        <x:v>0</x:v>
      </x:c>
      <x:c r="AM71" s="38" t="n">
        <x:f>IF(AND(AM$5&gt;=$D71,AM$5&lt;=$E71),1,0)</x:f>
        <x:v>0</x:v>
      </x:c>
      <x:c r="AN71" s="38" t="n">
        <x:f>IF(AND(AN$5&gt;=$D71,AN$5&lt;=$E71),1,0)</x:f>
        <x:v>0</x:v>
      </x:c>
      <x:c r="AO71" s="38" t="n">
        <x:f>IF(AND(AO$5&gt;=$D71,AO$5&lt;=$E71),1,0)</x:f>
        <x:v>0</x:v>
      </x:c>
      <x:c r="AP71" s="38" t="n">
        <x:f>IF(AND(AP$5&gt;=$D71,AP$5&lt;=$E71),1,0)</x:f>
        <x:v>0</x:v>
      </x:c>
      <x:c r="AQ71" s="38" t="n">
        <x:f>IF(AND(AQ$5&gt;=$D71,AQ$5&lt;=$E71),1,0)</x:f>
        <x:v>0</x:v>
      </x:c>
    </x:row>
    <x:row r="72" ht="38" customHeight="1">
      <x:c r="A72" s="10" t="str">
        <x:v>J02</x:v>
      </x:c>
      <x:c r="B72" s="10" t="str">
        <x:v>Run supervised briefs and weekly reviews</x:v>
      </x:c>
      <x:c r="C72" s="10" t="str">
        <x:v>PAE</x:v>
      </x:c>
      <x:c r="D72" s="10" t="n">
        <x:f>ROUNDUP('Tasks'!K72/5,0)</x:f>
        <x:v>28</x:v>
      </x:c>
      <x:c r="E72" s="10" t="n">
        <x:f>ROUNDUP('Tasks'!L72/5,0)</x:f>
        <x:v>30</x:v>
      </x:c>
      <x:c r="F72" s="10" t="str">
        <x:f>'Tasks'!R72</x:f>
        <x:v>Not started</x:v>
      </x:c>
      <x:c r="G72" s="35" t="n">
        <x:f>'Tasks'!S72</x:f>
        <x:v>0</x:v>
      </x:c>
      <x:c r="H72" s="36" t="n">
        <x:f>IF(AND(H$5&gt;=$D72,H$5&lt;=$E72),1,0)</x:f>
        <x:v>0</x:v>
      </x:c>
      <x:c r="I72" s="36" t="n">
        <x:f>IF(AND(I$5&gt;=$D72,I$5&lt;=$E72),1,0)</x:f>
        <x:v>0</x:v>
      </x:c>
      <x:c r="J72" s="36" t="n">
        <x:f>IF(AND(J$5&gt;=$D72,J$5&lt;=$E72),1,0)</x:f>
        <x:v>0</x:v>
      </x:c>
      <x:c r="K72" s="36" t="n">
        <x:f>IF(AND(K$5&gt;=$D72,K$5&lt;=$E72),1,0)</x:f>
        <x:v>0</x:v>
      </x:c>
      <x:c r="L72" s="36" t="n">
        <x:f>IF(AND(L$5&gt;=$D72,L$5&lt;=$E72),1,0)</x:f>
        <x:v>0</x:v>
      </x:c>
      <x:c r="M72" s="36" t="n">
        <x:f>IF(AND(M$5&gt;=$D72,M$5&lt;=$E72),1,0)</x:f>
        <x:v>0</x:v>
      </x:c>
      <x:c r="N72" s="36" t="n">
        <x:f>IF(AND(N$5&gt;=$D72,N$5&lt;=$E72),1,0)</x:f>
        <x:v>0</x:v>
      </x:c>
      <x:c r="O72" s="36" t="n">
        <x:f>IF(AND(O$5&gt;=$D72,O$5&lt;=$E72),1,0)</x:f>
        <x:v>0</x:v>
      </x:c>
      <x:c r="P72" s="36" t="n">
        <x:f>IF(AND(P$5&gt;=$D72,P$5&lt;=$E72),1,0)</x:f>
        <x:v>0</x:v>
      </x:c>
      <x:c r="Q72" s="36" t="n">
        <x:f>IF(AND(Q$5&gt;=$D72,Q$5&lt;=$E72),1,0)</x:f>
        <x:v>0</x:v>
      </x:c>
      <x:c r="R72" s="36" t="n">
        <x:f>IF(AND(R$5&gt;=$D72,R$5&lt;=$E72),1,0)</x:f>
        <x:v>0</x:v>
      </x:c>
      <x:c r="S72" s="36" t="n">
        <x:f>IF(AND(S$5&gt;=$D72,S$5&lt;=$E72),1,0)</x:f>
        <x:v>0</x:v>
      </x:c>
      <x:c r="T72" s="36" t="n">
        <x:f>IF(AND(T$5&gt;=$D72,T$5&lt;=$E72),1,0)</x:f>
        <x:v>0</x:v>
      </x:c>
      <x:c r="U72" s="36" t="n">
        <x:f>IF(AND(U$5&gt;=$D72,U$5&lt;=$E72),1,0)</x:f>
        <x:v>0</x:v>
      </x:c>
      <x:c r="V72" s="36" t="n">
        <x:f>IF(AND(V$5&gt;=$D72,V$5&lt;=$E72),1,0)</x:f>
        <x:v>0</x:v>
      </x:c>
      <x:c r="W72" s="36" t="n">
        <x:f>IF(AND(W$5&gt;=$D72,W$5&lt;=$E72),1,0)</x:f>
        <x:v>0</x:v>
      </x:c>
      <x:c r="X72" s="36" t="n">
        <x:f>IF(AND(X$5&gt;=$D72,X$5&lt;=$E72),1,0)</x:f>
        <x:v>0</x:v>
      </x:c>
      <x:c r="Y72" s="36" t="n">
        <x:f>IF(AND(Y$5&gt;=$D72,Y$5&lt;=$E72),1,0)</x:f>
        <x:v>0</x:v>
      </x:c>
      <x:c r="Z72" s="36" t="n">
        <x:f>IF(AND(Z$5&gt;=$D72,Z$5&lt;=$E72),1,0)</x:f>
        <x:v>0</x:v>
      </x:c>
      <x:c r="AA72" s="36" t="n">
        <x:f>IF(AND(AA$5&gt;=$D72,AA$5&lt;=$E72),1,0)</x:f>
        <x:v>0</x:v>
      </x:c>
      <x:c r="AB72" s="36" t="n">
        <x:f>IF(AND(AB$5&gt;=$D72,AB$5&lt;=$E72),1,0)</x:f>
        <x:v>0</x:v>
      </x:c>
      <x:c r="AC72" s="36" t="n">
        <x:f>IF(AND(AC$5&gt;=$D72,AC$5&lt;=$E72),1,0)</x:f>
        <x:v>0</x:v>
      </x:c>
      <x:c r="AD72" s="36" t="n">
        <x:f>IF(AND(AD$5&gt;=$D72,AD$5&lt;=$E72),1,0)</x:f>
        <x:v>0</x:v>
      </x:c>
      <x:c r="AE72" s="36" t="n">
        <x:f>IF(AND(AE$5&gt;=$D72,AE$5&lt;=$E72),1,0)</x:f>
        <x:v>0</x:v>
      </x:c>
      <x:c r="AF72" s="36" t="n">
        <x:f>IF(AND(AF$5&gt;=$D72,AF$5&lt;=$E72),1,0)</x:f>
        <x:v>0</x:v>
      </x:c>
      <x:c r="AG72" s="36" t="n">
        <x:f>IF(AND(AG$5&gt;=$D72,AG$5&lt;=$E72),1,0)</x:f>
        <x:v>0</x:v>
      </x:c>
      <x:c r="AH72" s="36" t="n">
        <x:f>IF(AND(AH$5&gt;=$D72,AH$5&lt;=$E72),1,0)</x:f>
        <x:v>0</x:v>
      </x:c>
      <x:c r="AI72" s="36" t="n">
        <x:f>IF(AND(AI$5&gt;=$D72,AI$5&lt;=$E72),1,0)</x:f>
        <x:v>1</x:v>
      </x:c>
      <x:c r="AJ72" s="36" t="n">
        <x:f>IF(AND(AJ$5&gt;=$D72,AJ$5&lt;=$E72),1,0)</x:f>
        <x:v>1</x:v>
      </x:c>
      <x:c r="AK72" s="36" t="n">
        <x:f>IF(AND(AK$5&gt;=$D72,AK$5&lt;=$E72),1,0)</x:f>
        <x:v>1</x:v>
      </x:c>
      <x:c r="AL72" s="36" t="n">
        <x:f>IF(AND(AL$5&gt;=$D72,AL$5&lt;=$E72),1,0)</x:f>
        <x:v>0</x:v>
      </x:c>
      <x:c r="AM72" s="36" t="n">
        <x:f>IF(AND(AM$5&gt;=$D72,AM$5&lt;=$E72),1,0)</x:f>
        <x:v>0</x:v>
      </x:c>
      <x:c r="AN72" s="36" t="n">
        <x:f>IF(AND(AN$5&gt;=$D72,AN$5&lt;=$E72),1,0)</x:f>
        <x:v>0</x:v>
      </x:c>
      <x:c r="AO72" s="36" t="n">
        <x:f>IF(AND(AO$5&gt;=$D72,AO$5&lt;=$E72),1,0)</x:f>
        <x:v>0</x:v>
      </x:c>
      <x:c r="AP72" s="36" t="n">
        <x:f>IF(AND(AP$5&gt;=$D72,AP$5&lt;=$E72),1,0)</x:f>
        <x:v>0</x:v>
      </x:c>
      <x:c r="AQ72" s="36" t="n">
        <x:f>IF(AND(AQ$5&gt;=$D72,AQ$5&lt;=$E72),1,0)</x:f>
        <x:v>0</x:v>
      </x:c>
    </x:row>
    <x:row r="73" ht="38" customHeight="1">
      <x:c r="A73" s="9" t="str">
        <x:v>J03</x:v>
      </x:c>
      <x:c r="B73" s="9" t="str">
        <x:v>Measure pilot value and operating cost</x:v>
      </x:c>
      <x:c r="C73" s="9" t="str">
        <x:v>HP</x:v>
      </x:c>
      <x:c r="D73" s="9" t="n">
        <x:f>ROUNDUP('Tasks'!K73/5,0)</x:f>
        <x:v>28</x:v>
      </x:c>
      <x:c r="E73" s="9" t="n">
        <x:f>ROUNDUP('Tasks'!L73/5,0)</x:f>
        <x:v>28</x:v>
      </x:c>
      <x:c r="F73" s="9" t="str">
        <x:f>'Tasks'!R73</x:f>
        <x:v>Not started</x:v>
      </x:c>
      <x:c r="G73" s="37" t="n">
        <x:f>'Tasks'!S73</x:f>
        <x:v>0</x:v>
      </x:c>
      <x:c r="H73" s="38" t="n">
        <x:f>IF(AND(H$5&gt;=$D73,H$5&lt;=$E73),1,0)</x:f>
        <x:v>0</x:v>
      </x:c>
      <x:c r="I73" s="38" t="n">
        <x:f>IF(AND(I$5&gt;=$D73,I$5&lt;=$E73),1,0)</x:f>
        <x:v>0</x:v>
      </x:c>
      <x:c r="J73" s="38" t="n">
        <x:f>IF(AND(J$5&gt;=$D73,J$5&lt;=$E73),1,0)</x:f>
        <x:v>0</x:v>
      </x:c>
      <x:c r="K73" s="38" t="n">
        <x:f>IF(AND(K$5&gt;=$D73,K$5&lt;=$E73),1,0)</x:f>
        <x:v>0</x:v>
      </x:c>
      <x:c r="L73" s="38" t="n">
        <x:f>IF(AND(L$5&gt;=$D73,L$5&lt;=$E73),1,0)</x:f>
        <x:v>0</x:v>
      </x:c>
      <x:c r="M73" s="38" t="n">
        <x:f>IF(AND(M$5&gt;=$D73,M$5&lt;=$E73),1,0)</x:f>
        <x:v>0</x:v>
      </x:c>
      <x:c r="N73" s="38" t="n">
        <x:f>IF(AND(N$5&gt;=$D73,N$5&lt;=$E73),1,0)</x:f>
        <x:v>0</x:v>
      </x:c>
      <x:c r="O73" s="38" t="n">
        <x:f>IF(AND(O$5&gt;=$D73,O$5&lt;=$E73),1,0)</x:f>
        <x:v>0</x:v>
      </x:c>
      <x:c r="P73" s="38" t="n">
        <x:f>IF(AND(P$5&gt;=$D73,P$5&lt;=$E73),1,0)</x:f>
        <x:v>0</x:v>
      </x:c>
      <x:c r="Q73" s="38" t="n">
        <x:f>IF(AND(Q$5&gt;=$D73,Q$5&lt;=$E73),1,0)</x:f>
        <x:v>0</x:v>
      </x:c>
      <x:c r="R73" s="38" t="n">
        <x:f>IF(AND(R$5&gt;=$D73,R$5&lt;=$E73),1,0)</x:f>
        <x:v>0</x:v>
      </x:c>
      <x:c r="S73" s="38" t="n">
        <x:f>IF(AND(S$5&gt;=$D73,S$5&lt;=$E73),1,0)</x:f>
        <x:v>0</x:v>
      </x:c>
      <x:c r="T73" s="38" t="n">
        <x:f>IF(AND(T$5&gt;=$D73,T$5&lt;=$E73),1,0)</x:f>
        <x:v>0</x:v>
      </x:c>
      <x:c r="U73" s="38" t="n">
        <x:f>IF(AND(U$5&gt;=$D73,U$5&lt;=$E73),1,0)</x:f>
        <x:v>0</x:v>
      </x:c>
      <x:c r="V73" s="38" t="n">
        <x:f>IF(AND(V$5&gt;=$D73,V$5&lt;=$E73),1,0)</x:f>
        <x:v>0</x:v>
      </x:c>
      <x:c r="W73" s="38" t="n">
        <x:f>IF(AND(W$5&gt;=$D73,W$5&lt;=$E73),1,0)</x:f>
        <x:v>0</x:v>
      </x:c>
      <x:c r="X73" s="38" t="n">
        <x:f>IF(AND(X$5&gt;=$D73,X$5&lt;=$E73),1,0)</x:f>
        <x:v>0</x:v>
      </x:c>
      <x:c r="Y73" s="38" t="n">
        <x:f>IF(AND(Y$5&gt;=$D73,Y$5&lt;=$E73),1,0)</x:f>
        <x:v>0</x:v>
      </x:c>
      <x:c r="Z73" s="38" t="n">
        <x:f>IF(AND(Z$5&gt;=$D73,Z$5&lt;=$E73),1,0)</x:f>
        <x:v>0</x:v>
      </x:c>
      <x:c r="AA73" s="38" t="n">
        <x:f>IF(AND(AA$5&gt;=$D73,AA$5&lt;=$E73),1,0)</x:f>
        <x:v>0</x:v>
      </x:c>
      <x:c r="AB73" s="38" t="n">
        <x:f>IF(AND(AB$5&gt;=$D73,AB$5&lt;=$E73),1,0)</x:f>
        <x:v>0</x:v>
      </x:c>
      <x:c r="AC73" s="38" t="n">
        <x:f>IF(AND(AC$5&gt;=$D73,AC$5&lt;=$E73),1,0)</x:f>
        <x:v>0</x:v>
      </x:c>
      <x:c r="AD73" s="38" t="n">
        <x:f>IF(AND(AD$5&gt;=$D73,AD$5&lt;=$E73),1,0)</x:f>
        <x:v>0</x:v>
      </x:c>
      <x:c r="AE73" s="38" t="n">
        <x:f>IF(AND(AE$5&gt;=$D73,AE$5&lt;=$E73),1,0)</x:f>
        <x:v>0</x:v>
      </x:c>
      <x:c r="AF73" s="38" t="n">
        <x:f>IF(AND(AF$5&gt;=$D73,AF$5&lt;=$E73),1,0)</x:f>
        <x:v>0</x:v>
      </x:c>
      <x:c r="AG73" s="38" t="n">
        <x:f>IF(AND(AG$5&gt;=$D73,AG$5&lt;=$E73),1,0)</x:f>
        <x:v>0</x:v>
      </x:c>
      <x:c r="AH73" s="38" t="n">
        <x:f>IF(AND(AH$5&gt;=$D73,AH$5&lt;=$E73),1,0)</x:f>
        <x:v>0</x:v>
      </x:c>
      <x:c r="AI73" s="38" t="n">
        <x:f>IF(AND(AI$5&gt;=$D73,AI$5&lt;=$E73),1,0)</x:f>
        <x:v>1</x:v>
      </x:c>
      <x:c r="AJ73" s="38" t="n">
        <x:f>IF(AND(AJ$5&gt;=$D73,AJ$5&lt;=$E73),1,0)</x:f>
        <x:v>0</x:v>
      </x:c>
      <x:c r="AK73" s="38" t="n">
        <x:f>IF(AND(AK$5&gt;=$D73,AK$5&lt;=$E73),1,0)</x:f>
        <x:v>0</x:v>
      </x:c>
      <x:c r="AL73" s="38" t="n">
        <x:f>IF(AND(AL$5&gt;=$D73,AL$5&lt;=$E73),1,0)</x:f>
        <x:v>0</x:v>
      </x:c>
      <x:c r="AM73" s="38" t="n">
        <x:f>IF(AND(AM$5&gt;=$D73,AM$5&lt;=$E73),1,0)</x:f>
        <x:v>0</x:v>
      </x:c>
      <x:c r="AN73" s="38" t="n">
        <x:f>IF(AND(AN$5&gt;=$D73,AN$5&lt;=$E73),1,0)</x:f>
        <x:v>0</x:v>
      </x:c>
      <x:c r="AO73" s="38" t="n">
        <x:f>IF(AND(AO$5&gt;=$D73,AO$5&lt;=$E73),1,0)</x:f>
        <x:v>0</x:v>
      </x:c>
      <x:c r="AP73" s="38" t="n">
        <x:f>IF(AND(AP$5&gt;=$D73,AP$5&lt;=$E73),1,0)</x:f>
        <x:v>0</x:v>
      </x:c>
      <x:c r="AQ73" s="38" t="n">
        <x:f>IF(AND(AQ$5&gt;=$D73,AQ$5&lt;=$E73),1,0)</x:f>
        <x:v>0</x:v>
      </x:c>
    </x:row>
    <x:row r="74" ht="38" customHeight="1">
      <x:c r="A74" s="10" t="str">
        <x:v>J04</x:v>
      </x:c>
      <x:c r="B74" s="10" t="str">
        <x:v>Prepare continuation and next backlog</x:v>
      </x:c>
      <x:c r="C74" s="10" t="str">
        <x:v>MD</x:v>
      </x:c>
      <x:c r="D74" s="10" t="n">
        <x:f>ROUNDUP('Tasks'!K74/5,0)</x:f>
        <x:v>31</x:v>
      </x:c>
      <x:c r="E74" s="10" t="n">
        <x:f>ROUNDUP('Tasks'!L74/5,0)</x:f>
        <x:v>31</x:v>
      </x:c>
      <x:c r="F74" s="10" t="str">
        <x:f>'Tasks'!R74</x:f>
        <x:v>Not started</x:v>
      </x:c>
      <x:c r="G74" s="35" t="n">
        <x:f>'Tasks'!S74</x:f>
        <x:v>0</x:v>
      </x:c>
      <x:c r="H74" s="36" t="n">
        <x:f>IF(AND(H$5&gt;=$D74,H$5&lt;=$E74),1,0)</x:f>
        <x:v>0</x:v>
      </x:c>
      <x:c r="I74" s="36" t="n">
        <x:f>IF(AND(I$5&gt;=$D74,I$5&lt;=$E74),1,0)</x:f>
        <x:v>0</x:v>
      </x:c>
      <x:c r="J74" s="36" t="n">
        <x:f>IF(AND(J$5&gt;=$D74,J$5&lt;=$E74),1,0)</x:f>
        <x:v>0</x:v>
      </x:c>
      <x:c r="K74" s="36" t="n">
        <x:f>IF(AND(K$5&gt;=$D74,K$5&lt;=$E74),1,0)</x:f>
        <x:v>0</x:v>
      </x:c>
      <x:c r="L74" s="36" t="n">
        <x:f>IF(AND(L$5&gt;=$D74,L$5&lt;=$E74),1,0)</x:f>
        <x:v>0</x:v>
      </x:c>
      <x:c r="M74" s="36" t="n">
        <x:f>IF(AND(M$5&gt;=$D74,M$5&lt;=$E74),1,0)</x:f>
        <x:v>0</x:v>
      </x:c>
      <x:c r="N74" s="36" t="n">
        <x:f>IF(AND(N$5&gt;=$D74,N$5&lt;=$E74),1,0)</x:f>
        <x:v>0</x:v>
      </x:c>
      <x:c r="O74" s="36" t="n">
        <x:f>IF(AND(O$5&gt;=$D74,O$5&lt;=$E74),1,0)</x:f>
        <x:v>0</x:v>
      </x:c>
      <x:c r="P74" s="36" t="n">
        <x:f>IF(AND(P$5&gt;=$D74,P$5&lt;=$E74),1,0)</x:f>
        <x:v>0</x:v>
      </x:c>
      <x:c r="Q74" s="36" t="n">
        <x:f>IF(AND(Q$5&gt;=$D74,Q$5&lt;=$E74),1,0)</x:f>
        <x:v>0</x:v>
      </x:c>
      <x:c r="R74" s="36" t="n">
        <x:f>IF(AND(R$5&gt;=$D74,R$5&lt;=$E74),1,0)</x:f>
        <x:v>0</x:v>
      </x:c>
      <x:c r="S74" s="36" t="n">
        <x:f>IF(AND(S$5&gt;=$D74,S$5&lt;=$E74),1,0)</x:f>
        <x:v>0</x:v>
      </x:c>
      <x:c r="T74" s="36" t="n">
        <x:f>IF(AND(T$5&gt;=$D74,T$5&lt;=$E74),1,0)</x:f>
        <x:v>0</x:v>
      </x:c>
      <x:c r="U74" s="36" t="n">
        <x:f>IF(AND(U$5&gt;=$D74,U$5&lt;=$E74),1,0)</x:f>
        <x:v>0</x:v>
      </x:c>
      <x:c r="V74" s="36" t="n">
        <x:f>IF(AND(V$5&gt;=$D74,V$5&lt;=$E74),1,0)</x:f>
        <x:v>0</x:v>
      </x:c>
      <x:c r="W74" s="36" t="n">
        <x:f>IF(AND(W$5&gt;=$D74,W$5&lt;=$E74),1,0)</x:f>
        <x:v>0</x:v>
      </x:c>
      <x:c r="X74" s="36" t="n">
        <x:f>IF(AND(X$5&gt;=$D74,X$5&lt;=$E74),1,0)</x:f>
        <x:v>0</x:v>
      </x:c>
      <x:c r="Y74" s="36" t="n">
        <x:f>IF(AND(Y$5&gt;=$D74,Y$5&lt;=$E74),1,0)</x:f>
        <x:v>0</x:v>
      </x:c>
      <x:c r="Z74" s="36" t="n">
        <x:f>IF(AND(Z$5&gt;=$D74,Z$5&lt;=$E74),1,0)</x:f>
        <x:v>0</x:v>
      </x:c>
      <x:c r="AA74" s="36" t="n">
        <x:f>IF(AND(AA$5&gt;=$D74,AA$5&lt;=$E74),1,0)</x:f>
        <x:v>0</x:v>
      </x:c>
      <x:c r="AB74" s="36" t="n">
        <x:f>IF(AND(AB$5&gt;=$D74,AB$5&lt;=$E74),1,0)</x:f>
        <x:v>0</x:v>
      </x:c>
      <x:c r="AC74" s="36" t="n">
        <x:f>IF(AND(AC$5&gt;=$D74,AC$5&lt;=$E74),1,0)</x:f>
        <x:v>0</x:v>
      </x:c>
      <x:c r="AD74" s="36" t="n">
        <x:f>IF(AND(AD$5&gt;=$D74,AD$5&lt;=$E74),1,0)</x:f>
        <x:v>0</x:v>
      </x:c>
      <x:c r="AE74" s="36" t="n">
        <x:f>IF(AND(AE$5&gt;=$D74,AE$5&lt;=$E74),1,0)</x:f>
        <x:v>0</x:v>
      </x:c>
      <x:c r="AF74" s="36" t="n">
        <x:f>IF(AND(AF$5&gt;=$D74,AF$5&lt;=$E74),1,0)</x:f>
        <x:v>0</x:v>
      </x:c>
      <x:c r="AG74" s="36" t="n">
        <x:f>IF(AND(AG$5&gt;=$D74,AG$5&lt;=$E74),1,0)</x:f>
        <x:v>0</x:v>
      </x:c>
      <x:c r="AH74" s="36" t="n">
        <x:f>IF(AND(AH$5&gt;=$D74,AH$5&lt;=$E74),1,0)</x:f>
        <x:v>0</x:v>
      </x:c>
      <x:c r="AI74" s="36" t="n">
        <x:f>IF(AND(AI$5&gt;=$D74,AI$5&lt;=$E74),1,0)</x:f>
        <x:v>0</x:v>
      </x:c>
      <x:c r="AJ74" s="36" t="n">
        <x:f>IF(AND(AJ$5&gt;=$D74,AJ$5&lt;=$E74),1,0)</x:f>
        <x:v>0</x:v>
      </x:c>
      <x:c r="AK74" s="36" t="n">
        <x:f>IF(AND(AK$5&gt;=$D74,AK$5&lt;=$E74),1,0)</x:f>
        <x:v>0</x:v>
      </x:c>
      <x:c r="AL74" s="36" t="n">
        <x:f>IF(AND(AL$5&gt;=$D74,AL$5&lt;=$E74),1,0)</x:f>
        <x:v>1</x:v>
      </x:c>
      <x:c r="AM74" s="36" t="n">
        <x:f>IF(AND(AM$5&gt;=$D74,AM$5&lt;=$E74),1,0)</x:f>
        <x:v>0</x:v>
      </x:c>
      <x:c r="AN74" s="36" t="n">
        <x:f>IF(AND(AN$5&gt;=$D74,AN$5&lt;=$E74),1,0)</x:f>
        <x:v>0</x:v>
      </x:c>
      <x:c r="AO74" s="36" t="n">
        <x:f>IF(AND(AO$5&gt;=$D74,AO$5&lt;=$E74),1,0)</x:f>
        <x:v>0</x:v>
      </x:c>
      <x:c r="AP74" s="36" t="n">
        <x:f>IF(AND(AP$5&gt;=$D74,AP$5&lt;=$E74),1,0)</x:f>
        <x:v>0</x:v>
      </x:c>
      <x:c r="AQ74" s="36" t="n">
        <x:f>IF(AND(AQ$5&gt;=$D74,AQ$5&lt;=$E74),1,0)</x:f>
        <x:v>0</x:v>
      </x:c>
    </x:row>
    <x:row r="75" ht="38" customHeight="1">
      <x:c r="A75" s="9" t="str">
        <x:v>G5</x:v>
      </x:c>
      <x:c r="B75" s="9" t="str">
        <x:v>G5 decide continuation</x:v>
      </x:c>
      <x:c r="C75" s="9" t="str">
        <x:v>MD</x:v>
      </x:c>
      <x:c r="D75" s="9" t="n">
        <x:f>ROUNDUP('Tasks'!K75/5,0)</x:f>
        <x:v>31</x:v>
      </x:c>
      <x:c r="E75" s="9" t="n">
        <x:f>ROUNDUP('Tasks'!L75/5,0)</x:f>
        <x:v>31</x:v>
      </x:c>
      <x:c r="F75" s="9" t="str">
        <x:f>'Tasks'!R75</x:f>
        <x:v>Not started</x:v>
      </x:c>
      <x:c r="G75" s="37" t="n">
        <x:f>'Tasks'!S75</x:f>
        <x:v>0</x:v>
      </x:c>
      <x:c r="H75" s="38" t="n">
        <x:f>IF(AND(H$5&gt;=$D75,H$5&lt;=$E75),1,0)</x:f>
        <x:v>0</x:v>
      </x:c>
      <x:c r="I75" s="38" t="n">
        <x:f>IF(AND(I$5&gt;=$D75,I$5&lt;=$E75),1,0)</x:f>
        <x:v>0</x:v>
      </x:c>
      <x:c r="J75" s="38" t="n">
        <x:f>IF(AND(J$5&gt;=$D75,J$5&lt;=$E75),1,0)</x:f>
        <x:v>0</x:v>
      </x:c>
      <x:c r="K75" s="38" t="n">
        <x:f>IF(AND(K$5&gt;=$D75,K$5&lt;=$E75),1,0)</x:f>
        <x:v>0</x:v>
      </x:c>
      <x:c r="L75" s="38" t="n">
        <x:f>IF(AND(L$5&gt;=$D75,L$5&lt;=$E75),1,0)</x:f>
        <x:v>0</x:v>
      </x:c>
      <x:c r="M75" s="38" t="n">
        <x:f>IF(AND(M$5&gt;=$D75,M$5&lt;=$E75),1,0)</x:f>
        <x:v>0</x:v>
      </x:c>
      <x:c r="N75" s="38" t="n">
        <x:f>IF(AND(N$5&gt;=$D75,N$5&lt;=$E75),1,0)</x:f>
        <x:v>0</x:v>
      </x:c>
      <x:c r="O75" s="38" t="n">
        <x:f>IF(AND(O$5&gt;=$D75,O$5&lt;=$E75),1,0)</x:f>
        <x:v>0</x:v>
      </x:c>
      <x:c r="P75" s="38" t="n">
        <x:f>IF(AND(P$5&gt;=$D75,P$5&lt;=$E75),1,0)</x:f>
        <x:v>0</x:v>
      </x:c>
      <x:c r="Q75" s="38" t="n">
        <x:f>IF(AND(Q$5&gt;=$D75,Q$5&lt;=$E75),1,0)</x:f>
        <x:v>0</x:v>
      </x:c>
      <x:c r="R75" s="38" t="n">
        <x:f>IF(AND(R$5&gt;=$D75,R$5&lt;=$E75),1,0)</x:f>
        <x:v>0</x:v>
      </x:c>
      <x:c r="S75" s="38" t="n">
        <x:f>IF(AND(S$5&gt;=$D75,S$5&lt;=$E75),1,0)</x:f>
        <x:v>0</x:v>
      </x:c>
      <x:c r="T75" s="38" t="n">
        <x:f>IF(AND(T$5&gt;=$D75,T$5&lt;=$E75),1,0)</x:f>
        <x:v>0</x:v>
      </x:c>
      <x:c r="U75" s="38" t="n">
        <x:f>IF(AND(U$5&gt;=$D75,U$5&lt;=$E75),1,0)</x:f>
        <x:v>0</x:v>
      </x:c>
      <x:c r="V75" s="38" t="n">
        <x:f>IF(AND(V$5&gt;=$D75,V$5&lt;=$E75),1,0)</x:f>
        <x:v>0</x:v>
      </x:c>
      <x:c r="W75" s="38" t="n">
        <x:f>IF(AND(W$5&gt;=$D75,W$5&lt;=$E75),1,0)</x:f>
        <x:v>0</x:v>
      </x:c>
      <x:c r="X75" s="38" t="n">
        <x:f>IF(AND(X$5&gt;=$D75,X$5&lt;=$E75),1,0)</x:f>
        <x:v>0</x:v>
      </x:c>
      <x:c r="Y75" s="38" t="n">
        <x:f>IF(AND(Y$5&gt;=$D75,Y$5&lt;=$E75),1,0)</x:f>
        <x:v>0</x:v>
      </x:c>
      <x:c r="Z75" s="38" t="n">
        <x:f>IF(AND(Z$5&gt;=$D75,Z$5&lt;=$E75),1,0)</x:f>
        <x:v>0</x:v>
      </x:c>
      <x:c r="AA75" s="38" t="n">
        <x:f>IF(AND(AA$5&gt;=$D75,AA$5&lt;=$E75),1,0)</x:f>
        <x:v>0</x:v>
      </x:c>
      <x:c r="AB75" s="38" t="n">
        <x:f>IF(AND(AB$5&gt;=$D75,AB$5&lt;=$E75),1,0)</x:f>
        <x:v>0</x:v>
      </x:c>
      <x:c r="AC75" s="38" t="n">
        <x:f>IF(AND(AC$5&gt;=$D75,AC$5&lt;=$E75),1,0)</x:f>
        <x:v>0</x:v>
      </x:c>
      <x:c r="AD75" s="38" t="n">
        <x:f>IF(AND(AD$5&gt;=$D75,AD$5&lt;=$E75),1,0)</x:f>
        <x:v>0</x:v>
      </x:c>
      <x:c r="AE75" s="38" t="n">
        <x:f>IF(AND(AE$5&gt;=$D75,AE$5&lt;=$E75),1,0)</x:f>
        <x:v>0</x:v>
      </x:c>
      <x:c r="AF75" s="38" t="n">
        <x:f>IF(AND(AF$5&gt;=$D75,AF$5&lt;=$E75),1,0)</x:f>
        <x:v>0</x:v>
      </x:c>
      <x:c r="AG75" s="38" t="n">
        <x:f>IF(AND(AG$5&gt;=$D75,AG$5&lt;=$E75),1,0)</x:f>
        <x:v>0</x:v>
      </x:c>
      <x:c r="AH75" s="38" t="n">
        <x:f>IF(AND(AH$5&gt;=$D75,AH$5&lt;=$E75),1,0)</x:f>
        <x:v>0</x:v>
      </x:c>
      <x:c r="AI75" s="38" t="n">
        <x:f>IF(AND(AI$5&gt;=$D75,AI$5&lt;=$E75),1,0)</x:f>
        <x:v>0</x:v>
      </x:c>
      <x:c r="AJ75" s="38" t="n">
        <x:f>IF(AND(AJ$5&gt;=$D75,AJ$5&lt;=$E75),1,0)</x:f>
        <x:v>0</x:v>
      </x:c>
      <x:c r="AK75" s="38" t="n">
        <x:f>IF(AND(AK$5&gt;=$D75,AK$5&lt;=$E75),1,0)</x:f>
        <x:v>0</x:v>
      </x:c>
      <x:c r="AL75" s="38" t="n">
        <x:f>IF(AND(AL$5&gt;=$D75,AL$5&lt;=$E75),1,0)</x:f>
        <x:v>1</x:v>
      </x:c>
      <x:c r="AM75" s="38" t="n">
        <x:f>IF(AND(AM$5&gt;=$D75,AM$5&lt;=$E75),1,0)</x:f>
        <x:v>0</x:v>
      </x:c>
      <x:c r="AN75" s="38" t="n">
        <x:f>IF(AND(AN$5&gt;=$D75,AN$5&lt;=$E75),1,0)</x:f>
        <x:v>0</x:v>
      </x:c>
      <x:c r="AO75" s="38" t="n">
        <x:f>IF(AND(AO$5&gt;=$D75,AO$5&lt;=$E75),1,0)</x:f>
        <x:v>0</x:v>
      </x:c>
      <x:c r="AP75" s="38" t="n">
        <x:f>IF(AND(AP$5&gt;=$D75,AP$5&lt;=$E75),1,0)</x:f>
        <x:v>0</x:v>
      </x:c>
      <x:c r="AQ75" s="38" t="n">
        <x:f>IF(AND(AQ$5&gt;=$D75,AQ$5&lt;=$E75),1,0)</x:f>
        <x:v>0</x:v>
      </x:c>
    </x:row>
  </x:sheetData>
  <x:conditionalFormatting sqref="H6:AQ6">
    <x:cfRule type="cellIs" dxfId="0" priority="1" operator="equal">
      <x:formula>1</x:formula>
    </x:cfRule>
  </x:conditionalFormatting>
  <x:conditionalFormatting sqref="H7:AQ7">
    <x:cfRule type="cellIs" dxfId="1" priority="2" operator="equal">
      <x:formula>1</x:formula>
    </x:cfRule>
  </x:conditionalFormatting>
  <x:conditionalFormatting sqref="H8:AQ8">
    <x:cfRule type="cellIs" dxfId="2" priority="3" operator="equal">
      <x:formula>1</x:formula>
    </x:cfRule>
  </x:conditionalFormatting>
  <x:conditionalFormatting sqref="H9:AQ9">
    <x:cfRule type="cellIs" dxfId="3" priority="4" operator="equal">
      <x:formula>1</x:formula>
    </x:cfRule>
  </x:conditionalFormatting>
  <x:conditionalFormatting sqref="H10:AQ10">
    <x:cfRule type="cellIs" dxfId="4" priority="5" operator="equal">
      <x:formula>1</x:formula>
    </x:cfRule>
  </x:conditionalFormatting>
  <x:conditionalFormatting sqref="H11:AQ11">
    <x:cfRule type="cellIs" dxfId="5" priority="6" operator="equal">
      <x:formula>1</x:formula>
    </x:cfRule>
  </x:conditionalFormatting>
  <x:conditionalFormatting sqref="H12:AQ12">
    <x:cfRule type="cellIs" dxfId="6" priority="7" operator="equal">
      <x:formula>1</x:formula>
    </x:cfRule>
  </x:conditionalFormatting>
  <x:conditionalFormatting sqref="H13:AQ13">
    <x:cfRule type="cellIs" dxfId="7" priority="8" operator="equal">
      <x:formula>1</x:formula>
    </x:cfRule>
  </x:conditionalFormatting>
  <x:conditionalFormatting sqref="H14:AQ14">
    <x:cfRule type="cellIs" dxfId="8" priority="9" operator="equal">
      <x:formula>1</x:formula>
    </x:cfRule>
  </x:conditionalFormatting>
  <x:conditionalFormatting sqref="H15:AQ15">
    <x:cfRule type="cellIs" dxfId="9" priority="10" operator="equal">
      <x:formula>1</x:formula>
    </x:cfRule>
  </x:conditionalFormatting>
  <x:conditionalFormatting sqref="H16:AQ16">
    <x:cfRule type="cellIs" dxfId="10" priority="11" operator="equal">
      <x:formula>1</x:formula>
    </x:cfRule>
  </x:conditionalFormatting>
  <x:conditionalFormatting sqref="H17:AQ17">
    <x:cfRule type="cellIs" dxfId="11" priority="12" operator="equal">
      <x:formula>1</x:formula>
    </x:cfRule>
  </x:conditionalFormatting>
  <x:conditionalFormatting sqref="H18:AQ18">
    <x:cfRule type="cellIs" dxfId="12" priority="13" operator="equal">
      <x:formula>1</x:formula>
    </x:cfRule>
  </x:conditionalFormatting>
  <x:conditionalFormatting sqref="H19:AQ19">
    <x:cfRule type="cellIs" dxfId="13" priority="14" operator="equal">
      <x:formula>1</x:formula>
    </x:cfRule>
  </x:conditionalFormatting>
  <x:conditionalFormatting sqref="H20:AQ20">
    <x:cfRule type="cellIs" dxfId="14" priority="15" operator="equal">
      <x:formula>1</x:formula>
    </x:cfRule>
  </x:conditionalFormatting>
  <x:conditionalFormatting sqref="H21:AQ21">
    <x:cfRule type="cellIs" dxfId="15" priority="16" operator="equal">
      <x:formula>1</x:formula>
    </x:cfRule>
  </x:conditionalFormatting>
  <x:conditionalFormatting sqref="H22:AQ22">
    <x:cfRule type="cellIs" dxfId="16" priority="17" operator="equal">
      <x:formula>1</x:formula>
    </x:cfRule>
  </x:conditionalFormatting>
  <x:conditionalFormatting sqref="H23:AQ23">
    <x:cfRule type="cellIs" dxfId="17" priority="18" operator="equal">
      <x:formula>1</x:formula>
    </x:cfRule>
  </x:conditionalFormatting>
  <x:conditionalFormatting sqref="H24:AQ24">
    <x:cfRule type="cellIs" dxfId="18" priority="19" operator="equal">
      <x:formula>1</x:formula>
    </x:cfRule>
  </x:conditionalFormatting>
  <x:conditionalFormatting sqref="H25:AQ25">
    <x:cfRule type="cellIs" dxfId="19" priority="20" operator="equal">
      <x:formula>1</x:formula>
    </x:cfRule>
  </x:conditionalFormatting>
  <x:conditionalFormatting sqref="H26:AQ26">
    <x:cfRule type="cellIs" dxfId="20" priority="21" operator="equal">
      <x:formula>1</x:formula>
    </x:cfRule>
  </x:conditionalFormatting>
  <x:conditionalFormatting sqref="H27:AQ27">
    <x:cfRule type="cellIs" dxfId="21" priority="22" operator="equal">
      <x:formula>1</x:formula>
    </x:cfRule>
  </x:conditionalFormatting>
  <x:conditionalFormatting sqref="H28:AQ28">
    <x:cfRule type="cellIs" dxfId="22" priority="23" operator="equal">
      <x:formula>1</x:formula>
    </x:cfRule>
  </x:conditionalFormatting>
  <x:conditionalFormatting sqref="H29:AQ29">
    <x:cfRule type="cellIs" dxfId="23" priority="24" operator="equal">
      <x:formula>1</x:formula>
    </x:cfRule>
  </x:conditionalFormatting>
  <x:conditionalFormatting sqref="H30:AQ30">
    <x:cfRule type="cellIs" dxfId="24" priority="25" operator="equal">
      <x:formula>1</x:formula>
    </x:cfRule>
  </x:conditionalFormatting>
  <x:conditionalFormatting sqref="H31:AQ31">
    <x:cfRule type="cellIs" dxfId="25" priority="26" operator="equal">
      <x:formula>1</x:formula>
    </x:cfRule>
  </x:conditionalFormatting>
  <x:conditionalFormatting sqref="H32:AQ32">
    <x:cfRule type="cellIs" dxfId="26" priority="27" operator="equal">
      <x:formula>1</x:formula>
    </x:cfRule>
  </x:conditionalFormatting>
  <x:conditionalFormatting sqref="H33:AQ33">
    <x:cfRule type="cellIs" dxfId="27" priority="28" operator="equal">
      <x:formula>1</x:formula>
    </x:cfRule>
  </x:conditionalFormatting>
  <x:conditionalFormatting sqref="H34:AQ34">
    <x:cfRule type="cellIs" dxfId="28" priority="29" operator="equal">
      <x:formula>1</x:formula>
    </x:cfRule>
  </x:conditionalFormatting>
  <x:conditionalFormatting sqref="H35:AQ35">
    <x:cfRule type="cellIs" dxfId="29" priority="30" operator="equal">
      <x:formula>1</x:formula>
    </x:cfRule>
  </x:conditionalFormatting>
  <x:conditionalFormatting sqref="H36:AQ36">
    <x:cfRule type="cellIs" dxfId="30" priority="31" operator="equal">
      <x:formula>1</x:formula>
    </x:cfRule>
  </x:conditionalFormatting>
  <x:conditionalFormatting sqref="H37:AQ37">
    <x:cfRule type="cellIs" dxfId="31" priority="32" operator="equal">
      <x:formula>1</x:formula>
    </x:cfRule>
  </x:conditionalFormatting>
  <x:conditionalFormatting sqref="H38:AQ38">
    <x:cfRule type="cellIs" dxfId="32" priority="33" operator="equal">
      <x:formula>1</x:formula>
    </x:cfRule>
  </x:conditionalFormatting>
  <x:conditionalFormatting sqref="H39:AQ39">
    <x:cfRule type="cellIs" dxfId="33" priority="34" operator="equal">
      <x:formula>1</x:formula>
    </x:cfRule>
  </x:conditionalFormatting>
  <x:conditionalFormatting sqref="H40:AQ40">
    <x:cfRule type="cellIs" dxfId="34" priority="35" operator="equal">
      <x:formula>1</x:formula>
    </x:cfRule>
  </x:conditionalFormatting>
  <x:conditionalFormatting sqref="H41:AQ41">
    <x:cfRule type="cellIs" dxfId="35" priority="36" operator="equal">
      <x:formula>1</x:formula>
    </x:cfRule>
  </x:conditionalFormatting>
  <x:conditionalFormatting sqref="H42:AQ42">
    <x:cfRule type="cellIs" dxfId="36" priority="37" operator="equal">
      <x:formula>1</x:formula>
    </x:cfRule>
  </x:conditionalFormatting>
  <x:conditionalFormatting sqref="H43:AQ43">
    <x:cfRule type="cellIs" dxfId="37" priority="38" operator="equal">
      <x:formula>1</x:formula>
    </x:cfRule>
  </x:conditionalFormatting>
  <x:conditionalFormatting sqref="H44:AQ44">
    <x:cfRule type="cellIs" dxfId="38" priority="39" operator="equal">
      <x:formula>1</x:formula>
    </x:cfRule>
  </x:conditionalFormatting>
  <x:conditionalFormatting sqref="H45:AQ45">
    <x:cfRule type="cellIs" dxfId="39" priority="40" operator="equal">
      <x:formula>1</x:formula>
    </x:cfRule>
  </x:conditionalFormatting>
  <x:conditionalFormatting sqref="H46:AQ46">
    <x:cfRule type="cellIs" dxfId="40" priority="41" operator="equal">
      <x:formula>1</x:formula>
    </x:cfRule>
  </x:conditionalFormatting>
  <x:conditionalFormatting sqref="H47:AQ47">
    <x:cfRule type="cellIs" dxfId="41" priority="42" operator="equal">
      <x:formula>1</x:formula>
    </x:cfRule>
  </x:conditionalFormatting>
  <x:conditionalFormatting sqref="H48:AQ48">
    <x:cfRule type="cellIs" dxfId="42" priority="43" operator="equal">
      <x:formula>1</x:formula>
    </x:cfRule>
  </x:conditionalFormatting>
  <x:conditionalFormatting sqref="H49:AQ49">
    <x:cfRule type="cellIs" dxfId="43" priority="44" operator="equal">
      <x:formula>1</x:formula>
    </x:cfRule>
  </x:conditionalFormatting>
  <x:conditionalFormatting sqref="H50:AQ50">
    <x:cfRule type="cellIs" dxfId="44" priority="45" operator="equal">
      <x:formula>1</x:formula>
    </x:cfRule>
  </x:conditionalFormatting>
  <x:conditionalFormatting sqref="H51:AQ51">
    <x:cfRule type="cellIs" dxfId="45" priority="46" operator="equal">
      <x:formula>1</x:formula>
    </x:cfRule>
  </x:conditionalFormatting>
  <x:conditionalFormatting sqref="H52:AQ52">
    <x:cfRule type="cellIs" dxfId="46" priority="47" operator="equal">
      <x:formula>1</x:formula>
    </x:cfRule>
  </x:conditionalFormatting>
  <x:conditionalFormatting sqref="H53:AQ53">
    <x:cfRule type="cellIs" dxfId="47" priority="48" operator="equal">
      <x:formula>1</x:formula>
    </x:cfRule>
  </x:conditionalFormatting>
  <x:conditionalFormatting sqref="H54:AQ54">
    <x:cfRule type="cellIs" dxfId="48" priority="49" operator="equal">
      <x:formula>1</x:formula>
    </x:cfRule>
  </x:conditionalFormatting>
  <x:conditionalFormatting sqref="H55:AQ55">
    <x:cfRule type="cellIs" dxfId="49" priority="50" operator="equal">
      <x:formula>1</x:formula>
    </x:cfRule>
  </x:conditionalFormatting>
  <x:conditionalFormatting sqref="H56:AQ56">
    <x:cfRule type="cellIs" dxfId="50" priority="51" operator="equal">
      <x:formula>1</x:formula>
    </x:cfRule>
  </x:conditionalFormatting>
  <x:conditionalFormatting sqref="H57:AQ57">
    <x:cfRule type="cellIs" dxfId="51" priority="52" operator="equal">
      <x:formula>1</x:formula>
    </x:cfRule>
  </x:conditionalFormatting>
  <x:conditionalFormatting sqref="H58:AQ58">
    <x:cfRule type="cellIs" dxfId="52" priority="53" operator="equal">
      <x:formula>1</x:formula>
    </x:cfRule>
  </x:conditionalFormatting>
  <x:conditionalFormatting sqref="H59:AQ59">
    <x:cfRule type="cellIs" dxfId="53" priority="54" operator="equal">
      <x:formula>1</x:formula>
    </x:cfRule>
  </x:conditionalFormatting>
  <x:conditionalFormatting sqref="H60:AQ60">
    <x:cfRule type="cellIs" dxfId="54" priority="55" operator="equal">
      <x:formula>1</x:formula>
    </x:cfRule>
  </x:conditionalFormatting>
  <x:conditionalFormatting sqref="H61:AQ61">
    <x:cfRule type="cellIs" dxfId="55" priority="56" operator="equal">
      <x:formula>1</x:formula>
    </x:cfRule>
  </x:conditionalFormatting>
  <x:conditionalFormatting sqref="H62:AQ62">
    <x:cfRule type="cellIs" dxfId="56" priority="57" operator="equal">
      <x:formula>1</x:formula>
    </x:cfRule>
  </x:conditionalFormatting>
  <x:conditionalFormatting sqref="H63:AQ63">
    <x:cfRule type="cellIs" dxfId="57" priority="58" operator="equal">
      <x:formula>1</x:formula>
    </x:cfRule>
  </x:conditionalFormatting>
  <x:conditionalFormatting sqref="H64:AQ64">
    <x:cfRule type="cellIs" dxfId="58" priority="59" operator="equal">
      <x:formula>1</x:formula>
    </x:cfRule>
  </x:conditionalFormatting>
  <x:conditionalFormatting sqref="H65:AQ65">
    <x:cfRule type="cellIs" dxfId="59" priority="60" operator="equal">
      <x:formula>1</x:formula>
    </x:cfRule>
  </x:conditionalFormatting>
  <x:conditionalFormatting sqref="H66:AQ66">
    <x:cfRule type="cellIs" dxfId="60" priority="61" operator="equal">
      <x:formula>1</x:formula>
    </x:cfRule>
  </x:conditionalFormatting>
  <x:conditionalFormatting sqref="H67:AQ67">
    <x:cfRule type="cellIs" dxfId="61" priority="62" operator="equal">
      <x:formula>1</x:formula>
    </x:cfRule>
  </x:conditionalFormatting>
  <x:conditionalFormatting sqref="H68:AQ68">
    <x:cfRule type="cellIs" dxfId="62" priority="63" operator="equal">
      <x:formula>1</x:formula>
    </x:cfRule>
  </x:conditionalFormatting>
  <x:conditionalFormatting sqref="H69:AQ69">
    <x:cfRule type="cellIs" dxfId="63" priority="64" operator="equal">
      <x:formula>1</x:formula>
    </x:cfRule>
  </x:conditionalFormatting>
  <x:conditionalFormatting sqref="H70:AQ70">
    <x:cfRule type="cellIs" dxfId="64" priority="65" operator="equal">
      <x:formula>1</x:formula>
    </x:cfRule>
  </x:conditionalFormatting>
  <x:conditionalFormatting sqref="H71:AQ71">
    <x:cfRule type="cellIs" dxfId="65" priority="66" operator="equal">
      <x:formula>1</x:formula>
    </x:cfRule>
  </x:conditionalFormatting>
  <x:conditionalFormatting sqref="H72:AQ72">
    <x:cfRule type="cellIs" dxfId="66" priority="67" operator="equal">
      <x:formula>1</x:formula>
    </x:cfRule>
  </x:conditionalFormatting>
  <x:conditionalFormatting sqref="H73:AQ73">
    <x:cfRule type="cellIs" dxfId="67" priority="68" operator="equal">
      <x:formula>1</x:formula>
    </x:cfRule>
  </x:conditionalFormatting>
  <x:conditionalFormatting sqref="H74:AQ74">
    <x:cfRule type="cellIs" dxfId="68" priority="69" operator="equal">
      <x:formula>1</x:formula>
    </x:cfRule>
  </x:conditionalFormatting>
  <x:conditionalFormatting sqref="H75:AQ75">
    <x:cfRule type="cellIs" dxfId="69" priority="70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48" hidden="0" customWidth="1"/>
    <x:col min="4" max="4" width="14" hidden="0" customWidth="1"/>
    <x:col min="5" max="5" width="15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3" hidden="0" customWidth="1"/>
    <x:col min="16" max="16" width="15" hidden="0" customWidth="1"/>
    <x:col min="17" max="17" width="13" hidden="0" customWidth="1"/>
    <x:col min="18" max="18" width="18" hidden="0" customWidth="1"/>
    <x:col min="19" max="19" width="12" hidden="0" customWidth="1"/>
    <x:col min="20" max="20" width="13" hidden="0" customWidth="1"/>
    <x:col min="21" max="21" width="46" hidden="0" customWidth="1"/>
  </x:cols>
  <x:sheetData>
    <x:row r="1" ht="27" customHeight="1">
      <x:c r="A1" s="2" t="str">
        <x:v>Implementation tasks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8" customHeight="1">
      <x:c r="A2" s="3" t="str">
        <x:v>Amber fields are editable. Start and finish are formulas. Owner and reviewer codes are defined in Capacity.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8" customHeight="1">
      <x:c r="A5" s="7" t="str">
        <x:v>ID</x:v>
      </x:c>
      <x:c r="B5" s="7" t="str">
        <x:v>Workstream</x:v>
      </x:c>
      <x:c r="C5" s="7" t="str">
        <x:v>Task</x:v>
      </x:c>
      <x:c r="D5" s="7" t="str">
        <x:v>Owner code</x:v>
      </x:c>
      <x:c r="E5" s="7" t="str">
        <x:v>Baseline hold day</x:v>
      </x:c>
      <x:c r="F5" s="7" t="str">
        <x:v>Duration days</x:v>
      </x:c>
      <x:c r="G5" s="7" t="str">
        <x:v>Predecessor1</x:v>
      </x:c>
      <x:c r="H5" s="7" t="str">
        <x:v>Predecessor2</x:v>
      </x:c>
      <x:c r="I5" s="7" t="str">
        <x:v>Predecessor3</x:v>
      </x:c>
      <x:c r="J5" s="7" t="str">
        <x:v>Predecessor4</x:v>
      </x:c>
      <x:c r="K5" s="7" t="str">
        <x:v>Start day</x:v>
      </x:c>
      <x:c r="L5" s="7" t="str">
        <x:v>Finish day</x:v>
      </x:c>
      <x:c r="M5" s="7" t="str">
        <x:v>Start date</x:v>
      </x:c>
      <x:c r="N5" s="7" t="str">
        <x:v>Finish date</x:v>
      </x:c>
      <x:c r="O5" s="7" t="str">
        <x:v>Owner hours</x:v>
      </x:c>
      <x:c r="P5" s="7" t="str">
        <x:v>Reviewer code</x:v>
      </x:c>
      <x:c r="Q5" s="7" t="str">
        <x:v>Review hours</x:v>
      </x:c>
      <x:c r="R5" s="7" t="str">
        <x:v>Status</x:v>
      </x:c>
      <x:c r="S5" s="7" t="str">
        <x:v>Complete</x:v>
      </x:c>
      <x:c r="T5" s="7" t="str">
        <x:v>Runbook section</x:v>
      </x:c>
      <x:c r="U5" s="7" t="str">
        <x:v>Blocker or evidence</x:v>
      </x:c>
    </x:row>
    <x:row r="6" ht="54" customHeight="1">
      <x:c r="A6" s="10" t="str">
        <x:v>B01</x:v>
      </x:c>
      <x:c r="B6" s="10" t="str">
        <x:v>Environment</x:v>
      </x:c>
      <x:c r="C6" s="10" t="str">
        <x:v>Launch AWS GPU workspace and private S3 stores</x:v>
      </x:c>
      <x:c r="D6" s="31" t="str">
        <x:v>OPS</x:v>
      </x:c>
      <x:c r="E6" s="31" t="n">
        <x:v>1</x:v>
      </x:c>
      <x:c r="F6" s="31" t="n">
        <x:v>3</x:v>
      </x:c>
      <x:c r="G6" s="31" t="str"/>
      <x:c r="H6" s="31" t="str"/>
      <x:c r="I6" s="31" t="str"/>
      <x:c r="J6" s="31" t="str"/>
      <x:c r="K6" s="10" t="n">
        <x:f>MAX(E6,IF(G6="",1,INDEX($L$6:$L$75,MATCH(G6,$A$6:$A$75,0))+1),IF(H6="",1,INDEX($L$6:$L$75,MATCH(H6,$A$6:$A$75,0))+1),IF(I6="",1,INDEX($L$6:$L$75,MATCH(I6,$A$6:$A$75,0))+1),IF(J6="",1,INDEX($L$6:$L$75,MATCH(J6,$A$6:$A$75,0))+1))</x:f>
        <x:v>1</x:v>
      </x:c>
      <x:c r="L6" s="10" t="n">
        <x:f>K6+F6-1</x:f>
        <x:v>3</x:v>
      </x:c>
      <x:c r="M6" s="33" t="str">
        <x:f>IF('Start here'!$B$5="","",WORKDAY('Start here'!$B$5-1,K6))</x:f>
      </x:c>
      <x:c r="N6" s="33" t="str">
        <x:f>IF('Start here'!$B$5="","",WORKDAY('Start here'!$B$5-1,L6))</x:f>
      </x:c>
      <x:c r="O6" s="31" t="n">
        <x:v>20</x:v>
      </x:c>
      <x:c r="P6" s="31" t="str">
        <x:v>SEC</x:v>
      </x:c>
      <x:c r="Q6" s="31" t="n">
        <x:v>6</x:v>
      </x:c>
      <x:c r="R6" s="31" t="str">
        <x:v>Not started</x:v>
      </x:c>
      <x:c r="S6" s="32" t="n">
        <x:v>0</x:v>
      </x:c>
      <x:c r="T6" s="10" t="n">
        <x:v>2</x:v>
      </x:c>
      <x:c r="U6" s="31" t="str"/>
    </x:row>
    <x:row r="7" ht="54" customHeight="1">
      <x:c r="A7" s="9" t="str">
        <x:v>B02</x:v>
      </x:c>
      <x:c r="B7" s="9" t="str">
        <x:v>Environment</x:v>
      </x:c>
      <x:c r="C7" s="9" t="str">
        <x:v>Prepare PyTorch environment on AWS GPU host</x:v>
      </x:c>
      <x:c r="D7" s="31" t="str">
        <x:v>AI</x:v>
      </x:c>
      <x:c r="E7" s="31" t="n">
        <x:v>4</x:v>
      </x:c>
      <x:c r="F7" s="31" t="n">
        <x:v>2</x:v>
      </x:c>
      <x:c r="G7" s="31" t="str">
        <x:v>B01</x:v>
      </x:c>
      <x:c r="H7" s="31" t="str"/>
      <x:c r="I7" s="31" t="str"/>
      <x:c r="J7" s="31" t="str"/>
      <x:c r="K7" s="9" t="n">
        <x:f>MAX(E7,IF(G7="",1,INDEX($L$6:$L$75,MATCH(G7,$A$6:$A$75,0))+1),IF(H7="",1,INDEX($L$6:$L$75,MATCH(H7,$A$6:$A$75,0))+1),IF(I7="",1,INDEX($L$6:$L$75,MATCH(I7,$A$6:$A$75,0))+1),IF(J7="",1,INDEX($L$6:$L$75,MATCH(J7,$A$6:$A$75,0))+1))</x:f>
        <x:v>4</x:v>
      </x:c>
      <x:c r="L7" s="9" t="n">
        <x:f>K7+F7-1</x:f>
        <x:v>5</x:v>
      </x:c>
      <x:c r="M7" s="34" t="str">
        <x:f>IF('Start here'!$B$5="","",WORKDAY('Start here'!$B$5-1,K7))</x:f>
      </x:c>
      <x:c r="N7" s="34" t="str">
        <x:f>IF('Start here'!$B$5="","",WORKDAY('Start here'!$B$5-1,L7))</x:f>
      </x:c>
      <x:c r="O7" s="31" t="n">
        <x:v>12</x:v>
      </x:c>
      <x:c r="P7" s="31" t="str">
        <x:v>OPS</x:v>
      </x:c>
      <x:c r="Q7" s="31" t="n">
        <x:v>4</x:v>
      </x:c>
      <x:c r="R7" s="31" t="str">
        <x:v>Not started</x:v>
      </x:c>
      <x:c r="S7" s="32" t="n">
        <x:v>0</x:v>
      </x:c>
      <x:c r="T7" s="9" t="n">
        <x:v>12</x:v>
      </x:c>
      <x:c r="U7" s="31" t="str"/>
    </x:row>
    <x:row r="8" ht="54" customHeight="1">
      <x:c r="A8" s="10" t="str">
        <x:v>B03</x:v>
      </x:c>
      <x:c r="B8" s="10" t="str">
        <x:v>Environment</x:v>
      </x:c>
      <x:c r="C8" s="10" t="str">
        <x:v>Pin the Hugging Face foundation model revision</x:v>
      </x:c>
      <x:c r="D8" s="31" t="str">
        <x:v>HP</x:v>
      </x:c>
      <x:c r="E8" s="31" t="n">
        <x:v>1</x:v>
      </x:c>
      <x:c r="F8" s="31" t="n">
        <x:v>1</x:v>
      </x:c>
      <x:c r="G8" s="31" t="str"/>
      <x:c r="H8" s="31" t="str"/>
      <x:c r="I8" s="31" t="str"/>
      <x:c r="J8" s="31" t="str"/>
      <x:c r="K8" s="10" t="n">
        <x:f>MAX(E8,IF(G8="",1,INDEX($L$6:$L$75,MATCH(G8,$A$6:$A$75,0))+1),IF(H8="",1,INDEX($L$6:$L$75,MATCH(H8,$A$6:$A$75,0))+1),IF(I8="",1,INDEX($L$6:$L$75,MATCH(I8,$A$6:$A$75,0))+1),IF(J8="",1,INDEX($L$6:$L$75,MATCH(J8,$A$6:$A$75,0))+1))</x:f>
        <x:v>1</x:v>
      </x:c>
      <x:c r="L8" s="10" t="n">
        <x:f>K8+F8-1</x:f>
        <x:v>1</x:v>
      </x:c>
      <x:c r="M8" s="33" t="str">
        <x:f>IF('Start here'!$B$5="","",WORKDAY('Start here'!$B$5-1,K8))</x:f>
      </x:c>
      <x:c r="N8" s="33" t="str">
        <x:f>IF('Start here'!$B$5="","",WORKDAY('Start here'!$B$5-1,L8))</x:f>
      </x:c>
      <x:c r="O8" s="31" t="n">
        <x:v>4</x:v>
      </x:c>
      <x:c r="P8" s="31" t="str">
        <x:v>SEC</x:v>
      </x:c>
      <x:c r="Q8" s="31" t="n">
        <x:v>3</x:v>
      </x:c>
      <x:c r="R8" s="31" t="str">
        <x:v>Not started</x:v>
      </x:c>
      <x:c r="S8" s="32" t="n">
        <x:v>0</x:v>
      </x:c>
      <x:c r="T8" s="10" t="n">
        <x:v>12</x:v>
      </x:c>
      <x:c r="U8" s="31" t="str"/>
    </x:row>
    <x:row r="9" ht="54" customHeight="1">
      <x:c r="A9" s="9" t="str">
        <x:v>B04</x:v>
      </x:c>
      <x:c r="B9" s="9" t="str">
        <x:v>Environment</x:v>
      </x:c>
      <x:c r="C9" s="9" t="str">
        <x:v>Download Qwen3.5 weights into AWS and archive in S3</x:v>
      </x:c>
      <x:c r="D9" s="31" t="str">
        <x:v>AI</x:v>
      </x:c>
      <x:c r="E9" s="31" t="n">
        <x:v>6</x:v>
      </x:c>
      <x:c r="F9" s="31" t="n">
        <x:v>1</x:v>
      </x:c>
      <x:c r="G9" s="31" t="str">
        <x:v>B01</x:v>
      </x:c>
      <x:c r="H9" s="31" t="str">
        <x:v>B02</x:v>
      </x:c>
      <x:c r="I9" s="31" t="str">
        <x:v>B03</x:v>
      </x:c>
      <x:c r="J9" s="31" t="str"/>
      <x:c r="K9" s="9" t="n">
        <x:f>MAX(E9,IF(G9="",1,INDEX($L$6:$L$75,MATCH(G9,$A$6:$A$75,0))+1),IF(H9="",1,INDEX($L$6:$L$75,MATCH(H9,$A$6:$A$75,0))+1),IF(I9="",1,INDEX($L$6:$L$75,MATCH(I9,$A$6:$A$75,0))+1),IF(J9="",1,INDEX($L$6:$L$75,MATCH(J9,$A$6:$A$75,0))+1))</x:f>
        <x:v>6</x:v>
      </x:c>
      <x:c r="L9" s="9" t="n">
        <x:f>K9+F9-1</x:f>
        <x:v>6</x:v>
      </x:c>
      <x:c r="M9" s="34" t="str">
        <x:f>IF('Start here'!$B$5="","",WORKDAY('Start here'!$B$5-1,K9))</x:f>
      </x:c>
      <x:c r="N9" s="34" t="str">
        <x:f>IF('Start here'!$B$5="","",WORKDAY('Start here'!$B$5-1,L9))</x:f>
      </x:c>
      <x:c r="O9" s="31" t="n">
        <x:v>6</x:v>
      </x:c>
      <x:c r="P9" s="31" t="str">
        <x:v>OPS</x:v>
      </x:c>
      <x:c r="Q9" s="31" t="n">
        <x:v>3</x:v>
      </x:c>
      <x:c r="R9" s="31" t="str">
        <x:v>Not started</x:v>
      </x:c>
      <x:c r="S9" s="32" t="n">
        <x:v>0</x:v>
      </x:c>
      <x:c r="T9" s="9" t="n">
        <x:v>12</x:v>
      </x:c>
      <x:c r="U9" s="31" t="str"/>
    </x:row>
    <x:row r="10" ht="54" customHeight="1">
      <x:c r="A10" s="10" t="str">
        <x:v>B05</x:v>
      </x:c>
      <x:c r="B10" s="10" t="str">
        <x:v>Environment</x:v>
      </x:c>
      <x:c r="C10" s="10" t="str">
        <x:v>Run the foundation model in AWS on text and images</x:v>
      </x:c>
      <x:c r="D10" s="31" t="str">
        <x:v>AI</x:v>
      </x:c>
      <x:c r="E10" s="31" t="n">
        <x:v>7</x:v>
      </x:c>
      <x:c r="F10" s="31" t="n">
        <x:v>2</x:v>
      </x:c>
      <x:c r="G10" s="31" t="str">
        <x:v>B04</x:v>
      </x:c>
      <x:c r="H10" s="31" t="str"/>
      <x:c r="I10" s="31" t="str"/>
      <x:c r="J10" s="31" t="str"/>
      <x:c r="K10" s="10" t="n">
        <x:f>MAX(E10,IF(G10="",1,INDEX($L$6:$L$75,MATCH(G10,$A$6:$A$75,0))+1),IF(H10="",1,INDEX($L$6:$L$75,MATCH(H10,$A$6:$A$75,0))+1),IF(I10="",1,INDEX($L$6:$L$75,MATCH(I10,$A$6:$A$75,0))+1),IF(J10="",1,INDEX($L$6:$L$75,MATCH(J10,$A$6:$A$75,0))+1))</x:f>
        <x:v>7</x:v>
      </x:c>
      <x:c r="L10" s="10" t="n">
        <x:f>K10+F10-1</x:f>
        <x:v>8</x:v>
      </x:c>
      <x:c r="M10" s="33" t="str">
        <x:f>IF('Start here'!$B$5="","",WORKDAY('Start here'!$B$5-1,K10))</x:f>
      </x:c>
      <x:c r="N10" s="33" t="str">
        <x:f>IF('Start here'!$B$5="","",WORKDAY('Start here'!$B$5-1,L10))</x:f>
      </x:c>
      <x:c r="O10" s="31" t="n">
        <x:v>12</x:v>
      </x:c>
      <x:c r="P10" s="31" t="str">
        <x:v>HP</x:v>
      </x:c>
      <x:c r="Q10" s="31" t="n">
        <x:v>4</x:v>
      </x:c>
      <x:c r="R10" s="31" t="str">
        <x:v>Not started</x:v>
      </x:c>
      <x:c r="S10" s="32" t="n">
        <x:v>0</x:v>
      </x:c>
      <x:c r="T10" s="10" t="n">
        <x:v>12</x:v>
      </x:c>
      <x:c r="U10" s="31" t="str"/>
    </x:row>
    <x:row r="11" ht="54" customHeight="1">
      <x:c r="A11" s="9" t="str">
        <x:v>B06</x:v>
      </x:c>
      <x:c r="B11" s="9" t="str">
        <x:v>Environment</x:v>
      </x:c>
      <x:c r="C11" s="9" t="str">
        <x:v>Inspect adapter targets and loss masking</x:v>
      </x:c>
      <x:c r="D11" s="31" t="str">
        <x:v>AI</x:v>
      </x:c>
      <x:c r="E11" s="31" t="n">
        <x:v>9</x:v>
      </x:c>
      <x:c r="F11" s="31" t="n">
        <x:v>3</x:v>
      </x:c>
      <x:c r="G11" s="31" t="str">
        <x:v>B05</x:v>
      </x:c>
      <x:c r="H11" s="31" t="str"/>
      <x:c r="I11" s="31" t="str"/>
      <x:c r="J11" s="31" t="str"/>
      <x:c r="K11" s="9" t="n">
        <x:f>MAX(E11,IF(G11="",1,INDEX($L$6:$L$75,MATCH(G11,$A$6:$A$75,0))+1),IF(H11="",1,INDEX($L$6:$L$75,MATCH(H11,$A$6:$A$75,0))+1),IF(I11="",1,INDEX($L$6:$L$75,MATCH(I11,$A$6:$A$75,0))+1),IF(J11="",1,INDEX($L$6:$L$75,MATCH(J11,$A$6:$A$75,0))+1))</x:f>
        <x:v>9</x:v>
      </x:c>
      <x:c r="L11" s="9" t="n">
        <x:f>K11+F11-1</x:f>
        <x:v>11</x:v>
      </x:c>
      <x:c r="M11" s="34" t="str">
        <x:f>IF('Start here'!$B$5="","",WORKDAY('Start here'!$B$5-1,K11))</x:f>
      </x:c>
      <x:c r="N11" s="34" t="str">
        <x:f>IF('Start here'!$B$5="","",WORKDAY('Start here'!$B$5-1,L11))</x:f>
      </x:c>
      <x:c r="O11" s="31" t="n">
        <x:v>20</x:v>
      </x:c>
      <x:c r="P11" s="31" t="str">
        <x:v>OPS</x:v>
      </x:c>
      <x:c r="Q11" s="31" t="n">
        <x:v>6</x:v>
      </x:c>
      <x:c r="R11" s="31" t="str">
        <x:v>Not started</x:v>
      </x:c>
      <x:c r="S11" s="32" t="n">
        <x:v>0</x:v>
      </x:c>
      <x:c r="T11" s="9" t="n">
        <x:v>14</x:v>
      </x:c>
      <x:c r="U11" s="31" t="str"/>
    </x:row>
    <x:row r="12" ht="54" customHeight="1">
      <x:c r="A12" s="10" t="str">
        <x:v>B07</x:v>
      </x:c>
      <x:c r="B12" s="10" t="str">
        <x:v>Environment</x:v>
      </x:c>
      <x:c r="C12" s="10" t="str">
        <x:v>Prove train save reload compatibility</x:v>
      </x:c>
      <x:c r="D12" s="31" t="str">
        <x:v>AI</x:v>
      </x:c>
      <x:c r="E12" s="31" t="n">
        <x:v>12</x:v>
      </x:c>
      <x:c r="F12" s="31" t="n">
        <x:v>3</x:v>
      </x:c>
      <x:c r="G12" s="31" t="str">
        <x:v>B06</x:v>
      </x:c>
      <x:c r="H12" s="31" t="str"/>
      <x:c r="I12" s="31" t="str"/>
      <x:c r="J12" s="31" t="str"/>
      <x:c r="K12" s="10" t="n">
        <x:f>MAX(E12,IF(G12="",1,INDEX($L$6:$L$75,MATCH(G12,$A$6:$A$75,0))+1),IF(H12="",1,INDEX($L$6:$L$75,MATCH(H12,$A$6:$A$75,0))+1),IF(I12="",1,INDEX($L$6:$L$75,MATCH(I12,$A$6:$A$75,0))+1),IF(J12="",1,INDEX($L$6:$L$75,MATCH(J12,$A$6:$A$75,0))+1))</x:f>
        <x:v>12</x:v>
      </x:c>
      <x:c r="L12" s="10" t="n">
        <x:f>K12+F12-1</x:f>
        <x:v>14</x:v>
      </x:c>
      <x:c r="M12" s="33" t="str">
        <x:f>IF('Start here'!$B$5="","",WORKDAY('Start here'!$B$5-1,K12))</x:f>
      </x:c>
      <x:c r="N12" s="33" t="str">
        <x:f>IF('Start here'!$B$5="","",WORKDAY('Start here'!$B$5-1,L12))</x:f>
      </x:c>
      <x:c r="O12" s="31" t="n">
        <x:v>18</x:v>
      </x:c>
      <x:c r="P12" s="31" t="str">
        <x:v>HP</x:v>
      </x:c>
      <x:c r="Q12" s="31" t="n">
        <x:v>4</x:v>
      </x:c>
      <x:c r="R12" s="31" t="str">
        <x:v>Not started</x:v>
      </x:c>
      <x:c r="S12" s="32" t="n">
        <x:v>0</x:v>
      </x:c>
      <x:c r="T12" s="10" t="n">
        <x:v>14</x:v>
      </x:c>
      <x:c r="U12" s="31" t="str"/>
    </x:row>
    <x:row r="13" ht="54" customHeight="1">
      <x:c r="A13" s="9" t="str">
        <x:v>A01</x:v>
      </x:c>
      <x:c r="B13" s="9" t="str">
        <x:v>Mobilize</x:v>
      </x:c>
      <x:c r="C13" s="9" t="str">
        <x:v>Define three pilot workflows</x:v>
      </x:c>
      <x:c r="D13" s="31" t="str">
        <x:v>HP</x:v>
      </x:c>
      <x:c r="E13" s="31" t="n">
        <x:v>2</x:v>
      </x:c>
      <x:c r="F13" s="31" t="n">
        <x:v>2</x:v>
      </x:c>
      <x:c r="G13" s="31" t="str"/>
      <x:c r="H13" s="31" t="str"/>
      <x:c r="I13" s="31" t="str"/>
      <x:c r="J13" s="31" t="str"/>
      <x:c r="K13" s="9" t="n">
        <x:f>MAX(E13,IF(G13="",1,INDEX($L$6:$L$75,MATCH(G13,$A$6:$A$75,0))+1),IF(H13="",1,INDEX($L$6:$L$75,MATCH(H13,$A$6:$A$75,0))+1),IF(I13="",1,INDEX($L$6:$L$75,MATCH(I13,$A$6:$A$75,0))+1),IF(J13="",1,INDEX($L$6:$L$75,MATCH(J13,$A$6:$A$75,0))+1))</x:f>
        <x:v>2</x:v>
      </x:c>
      <x:c r="L13" s="9" t="n">
        <x:f>K13+F13-1</x:f>
        <x:v>3</x:v>
      </x:c>
      <x:c r="M13" s="34" t="str">
        <x:f>IF('Start here'!$B$5="","",WORKDAY('Start here'!$B$5-1,K13))</x:f>
      </x:c>
      <x:c r="N13" s="34" t="str">
        <x:f>IF('Start here'!$B$5="","",WORKDAY('Start here'!$B$5-1,L13))</x:f>
      </x:c>
      <x:c r="O13" s="31" t="n">
        <x:v>12</x:v>
      </x:c>
      <x:c r="P13" s="31" t="str">
        <x:v>TD</x:v>
      </x:c>
      <x:c r="Q13" s="31" t="n">
        <x:v>2</x:v>
      </x:c>
      <x:c r="R13" s="31" t="str">
        <x:v>Not started</x:v>
      </x:c>
      <x:c r="S13" s="32" t="n">
        <x:v>0</x:v>
      </x:c>
      <x:c r="T13" s="9" t="n">
        <x:v>1</x:v>
      </x:c>
      <x:c r="U13" s="31" t="str"/>
    </x:row>
    <x:row r="14" ht="54" customHeight="1">
      <x:c r="A14" s="10" t="str">
        <x:v>A02</x:v>
      </x:c>
      <x:c r="B14" s="10" t="str">
        <x:v>Mobilize</x:v>
      </x:c>
      <x:c r="C14" s="10" t="str">
        <x:v>Assign named delivery and review owners</x:v>
      </x:c>
      <x:c r="D14" s="31" t="str">
        <x:v>MD</x:v>
      </x:c>
      <x:c r="E14" s="31" t="n">
        <x:v>1</x:v>
      </x:c>
      <x:c r="F14" s="31" t="n">
        <x:v>3</x:v>
      </x:c>
      <x:c r="G14" s="31" t="str"/>
      <x:c r="H14" s="31" t="str"/>
      <x:c r="I14" s="31" t="str"/>
      <x:c r="J14" s="31" t="str"/>
      <x:c r="K14" s="10" t="n">
        <x:f>MAX(E14,IF(G14="",1,INDEX($L$6:$L$75,MATCH(G14,$A$6:$A$75,0))+1),IF(H14="",1,INDEX($L$6:$L$75,MATCH(H14,$A$6:$A$75,0))+1),IF(I14="",1,INDEX($L$6:$L$75,MATCH(I14,$A$6:$A$75,0))+1),IF(J14="",1,INDEX($L$6:$L$75,MATCH(J14,$A$6:$A$75,0))+1))</x:f>
        <x:v>1</x:v>
      </x:c>
      <x:c r="L14" s="10" t="n">
        <x:f>K14+F14-1</x:f>
        <x:v>3</x:v>
      </x:c>
      <x:c r="M14" s="33" t="str">
        <x:f>IF('Start here'!$B$5="","",WORKDAY('Start here'!$B$5-1,K14))</x:f>
      </x:c>
      <x:c r="N14" s="33" t="str">
        <x:f>IF('Start here'!$B$5="","",WORKDAY('Start here'!$B$5-1,L14))</x:f>
      </x:c>
      <x:c r="O14" s="31" t="n">
        <x:v>10</x:v>
      </x:c>
      <x:c r="P14" s="31" t="str">
        <x:v>HP</x:v>
      </x:c>
      <x:c r="Q14" s="31" t="n">
        <x:v>2</x:v>
      </x:c>
      <x:c r="R14" s="31" t="str">
        <x:v>Not started</x:v>
      </x:c>
      <x:c r="S14" s="32" t="n">
        <x:v>0</x:v>
      </x:c>
      <x:c r="T14" s="10" t="n">
        <x:v>1</x:v>
      </x:c>
      <x:c r="U14" s="31" t="str"/>
    </x:row>
    <x:row r="15" ht="54" customHeight="1">
      <x:c r="A15" s="9" t="str">
        <x:v>A03</x:v>
      </x:c>
      <x:c r="B15" s="9" t="str">
        <x:v>Mobilize</x:v>
      </x:c>
      <x:c r="C15" s="9" t="str">
        <x:v>Measure current engineering workflow</x:v>
      </x:c>
      <x:c r="D15" s="31" t="str">
        <x:v>CD</x:v>
      </x:c>
      <x:c r="E15" s="31" t="n">
        <x:v>4</x:v>
      </x:c>
      <x:c r="F15" s="31" t="n">
        <x:v>4</x:v>
      </x:c>
      <x:c r="G15" s="31" t="str">
        <x:v>A01</x:v>
      </x:c>
      <x:c r="H15" s="31" t="str"/>
      <x:c r="I15" s="31" t="str"/>
      <x:c r="J15" s="31" t="str"/>
      <x:c r="K15" s="9" t="n">
        <x:f>MAX(E15,IF(G15="",1,INDEX($L$6:$L$75,MATCH(G15,$A$6:$A$75,0))+1),IF(H15="",1,INDEX($L$6:$L$75,MATCH(H15,$A$6:$A$75,0))+1),IF(I15="",1,INDEX($L$6:$L$75,MATCH(I15,$A$6:$A$75,0))+1),IF(J15="",1,INDEX($L$6:$L$75,MATCH(J15,$A$6:$A$75,0))+1))</x:f>
        <x:v>4</x:v>
      </x:c>
      <x:c r="L15" s="9" t="n">
        <x:f>K15+F15-1</x:f>
        <x:v>7</x:v>
      </x:c>
      <x:c r="M15" s="34" t="str">
        <x:f>IF('Start here'!$B$5="","",WORKDAY('Start here'!$B$5-1,K15))</x:f>
      </x:c>
      <x:c r="N15" s="34" t="str">
        <x:f>IF('Start here'!$B$5="","",WORKDAY('Start here'!$B$5-1,L15))</x:f>
      </x:c>
      <x:c r="O15" s="31" t="n">
        <x:v>24</x:v>
      </x:c>
      <x:c r="P15" s="31" t="str">
        <x:v>HP</x:v>
      </x:c>
      <x:c r="Q15" s="31" t="n">
        <x:v>4</x:v>
      </x:c>
      <x:c r="R15" s="31" t="str">
        <x:v>Not started</x:v>
      </x:c>
      <x:c r="S15" s="32" t="n">
        <x:v>0</x:v>
      </x:c>
      <x:c r="T15" s="9" t="n">
        <x:v>18</x:v>
      </x:c>
      <x:c r="U15" s="31" t="str"/>
    </x:row>
    <x:row r="16" ht="54" customHeight="1">
      <x:c r="A16" s="10" t="str">
        <x:v>A04</x:v>
      </x:c>
      <x:c r="B16" s="10" t="str">
        <x:v>Mobilize</x:v>
      </x:c>
      <x:c r="C16" s="10" t="str">
        <x:v>Normalize all existing source leads</x:v>
      </x:c>
      <x:c r="D16" s="31" t="str">
        <x:v>KE</x:v>
      </x:c>
      <x:c r="E16" s="31" t="n">
        <x:v>2</x:v>
      </x:c>
      <x:c r="F16" s="31" t="n">
        <x:v>3</x:v>
      </x:c>
      <x:c r="G16" s="31" t="str"/>
      <x:c r="H16" s="31" t="str"/>
      <x:c r="I16" s="31" t="str"/>
      <x:c r="J16" s="31" t="str"/>
      <x:c r="K16" s="10" t="n">
        <x:f>MAX(E16,IF(G16="",1,INDEX($L$6:$L$75,MATCH(G16,$A$6:$A$75,0))+1),IF(H16="",1,INDEX($L$6:$L$75,MATCH(H16,$A$6:$A$75,0))+1),IF(I16="",1,INDEX($L$6:$L$75,MATCH(I16,$A$6:$A$75,0))+1),IF(J16="",1,INDEX($L$6:$L$75,MATCH(J16,$A$6:$A$75,0))+1))</x:f>
        <x:v>2</x:v>
      </x:c>
      <x:c r="L16" s="10" t="n">
        <x:f>K16+F16-1</x:f>
        <x:v>4</x:v>
      </x:c>
      <x:c r="M16" s="33" t="str">
        <x:f>IF('Start here'!$B$5="","",WORKDAY('Start here'!$B$5-1,K16))</x:f>
      </x:c>
      <x:c r="N16" s="33" t="str">
        <x:f>IF('Start here'!$B$5="","",WORKDAY('Start here'!$B$5-1,L16))</x:f>
      </x:c>
      <x:c r="O16" s="31" t="n">
        <x:v>18</x:v>
      </x:c>
      <x:c r="P16" s="31" t="str">
        <x:v>MD</x:v>
      </x:c>
      <x:c r="Q16" s="31" t="n">
        <x:v>3</x:v>
      </x:c>
      <x:c r="R16" s="31" t="str">
        <x:v>Not started</x:v>
      </x:c>
      <x:c r="S16" s="32" t="n">
        <x:v>0</x:v>
      </x:c>
      <x:c r="T16" s="10" t="n">
        <x:v>3</x:v>
      </x:c>
      <x:c r="U16" s="31" t="str"/>
    </x:row>
    <x:row r="17" ht="54" customHeight="1">
      <x:c r="A17" s="9" t="str">
        <x:v>A05</x:v>
      </x:c>
      <x:c r="B17" s="9" t="str">
        <x:v>Mobilize</x:v>
      </x:c>
      <x:c r="C17" s="9" t="str">
        <x:v>Approve rights and data-use contract fields</x:v>
      </x:c>
      <x:c r="D17" s="31" t="str">
        <x:v>MD</x:v>
      </x:c>
      <x:c r="E17" s="31" t="n">
        <x:v>5</x:v>
      </x:c>
      <x:c r="F17" s="31" t="n">
        <x:v>5</x:v>
      </x:c>
      <x:c r="G17" s="31" t="str">
        <x:v>A04</x:v>
      </x:c>
      <x:c r="H17" s="31" t="str"/>
      <x:c r="I17" s="31" t="str"/>
      <x:c r="J17" s="31" t="str"/>
      <x:c r="K17" s="9" t="n">
        <x:f>MAX(E17,IF(G17="",1,INDEX($L$6:$L$75,MATCH(G17,$A$6:$A$75,0))+1),IF(H17="",1,INDEX($L$6:$L$75,MATCH(H17,$A$6:$A$75,0))+1),IF(I17="",1,INDEX($L$6:$L$75,MATCH(I17,$A$6:$A$75,0))+1),IF(J17="",1,INDEX($L$6:$L$75,MATCH(J17,$A$6:$A$75,0))+1))</x:f>
        <x:v>5</x:v>
      </x:c>
      <x:c r="L17" s="9" t="n">
        <x:f>K17+F17-1</x:f>
        <x:v>9</x:v>
      </x:c>
      <x:c r="M17" s="34" t="str">
        <x:f>IF('Start here'!$B$5="","",WORKDAY('Start here'!$B$5-1,K17))</x:f>
      </x:c>
      <x:c r="N17" s="34" t="str">
        <x:f>IF('Start here'!$B$5="","",WORKDAY('Start here'!$B$5-1,L17))</x:f>
      </x:c>
      <x:c r="O17" s="31" t="n">
        <x:v>20</x:v>
      </x:c>
      <x:c r="P17" s="31" t="str">
        <x:v>SEC</x:v>
      </x:c>
      <x:c r="Q17" s="31" t="n">
        <x:v>8</x:v>
      </x:c>
      <x:c r="R17" s="31" t="str">
        <x:v>Not started</x:v>
      </x:c>
      <x:c r="S17" s="32" t="n">
        <x:v>0</x:v>
      </x:c>
      <x:c r="T17" s="9" t="n">
        <x:v>3</x:v>
      </x:c>
      <x:c r="U17" s="31" t="str"/>
    </x:row>
    <x:row r="18" ht="54" customHeight="1">
      <x:c r="A18" s="10" t="str">
        <x:v>A06</x:v>
      </x:c>
      <x:c r="B18" s="10" t="str">
        <x:v>Mobilize</x:v>
      </x:c>
      <x:c r="C18" s="10" t="str">
        <x:v>Approve hosting and access architecture</x:v>
      </x:c>
      <x:c r="D18" s="31" t="str">
        <x:v>SEC</x:v>
      </x:c>
      <x:c r="E18" s="31" t="n">
        <x:v>4</x:v>
      </x:c>
      <x:c r="F18" s="31" t="n">
        <x:v>5</x:v>
      </x:c>
      <x:c r="G18" s="31" t="str">
        <x:v>A01</x:v>
      </x:c>
      <x:c r="H18" s="31" t="str">
        <x:v>A02</x:v>
      </x:c>
      <x:c r="I18" s="31" t="str"/>
      <x:c r="J18" s="31" t="str"/>
      <x:c r="K18" s="10" t="n">
        <x:f>MAX(E18,IF(G18="",1,INDEX($L$6:$L$75,MATCH(G18,$A$6:$A$75,0))+1),IF(H18="",1,INDEX($L$6:$L$75,MATCH(H18,$A$6:$A$75,0))+1),IF(I18="",1,INDEX($L$6:$L$75,MATCH(I18,$A$6:$A$75,0))+1),IF(J18="",1,INDEX($L$6:$L$75,MATCH(J18,$A$6:$A$75,0))+1))</x:f>
        <x:v>4</x:v>
      </x:c>
      <x:c r="L18" s="10" t="n">
        <x:f>K18+F18-1</x:f>
        <x:v>8</x:v>
      </x:c>
      <x:c r="M18" s="33" t="str">
        <x:f>IF('Start here'!$B$5="","",WORKDAY('Start here'!$B$5-1,K18))</x:f>
      </x:c>
      <x:c r="N18" s="33" t="str">
        <x:f>IF('Start here'!$B$5="","",WORKDAY('Start here'!$B$5-1,L18))</x:f>
      </x:c>
      <x:c r="O18" s="31" t="n">
        <x:v>24</x:v>
      </x:c>
      <x:c r="P18" s="31" t="str">
        <x:v>HP</x:v>
      </x:c>
      <x:c r="Q18" s="31" t="n">
        <x:v>4</x:v>
      </x:c>
      <x:c r="R18" s="31" t="str">
        <x:v>Not started</x:v>
      </x:c>
      <x:c r="S18" s="32" t="n">
        <x:v>0</x:v>
      </x:c>
      <x:c r="T18" s="10" t="n">
        <x:v>2</x:v>
      </x:c>
      <x:c r="U18" s="31" t="str"/>
    </x:row>
    <x:row r="19" ht="54" customHeight="1">
      <x:c r="A19" s="9" t="str">
        <x:v>A07</x:v>
      </x:c>
      <x:c r="B19" s="9" t="str">
        <x:v>Mobilize</x:v>
      </x:c>
      <x:c r="C19" s="9" t="str">
        <x:v>Create annotation and acceptance rubrics</x:v>
      </x:c>
      <x:c r="D19" s="31" t="str">
        <x:v>TD</x:v>
      </x:c>
      <x:c r="E19" s="31" t="n">
        <x:v>4</x:v>
      </x:c>
      <x:c r="F19" s="31" t="n">
        <x:v>5</x:v>
      </x:c>
      <x:c r="G19" s="31" t="str">
        <x:v>A01</x:v>
      </x:c>
      <x:c r="H19" s="31" t="str">
        <x:v>A02</x:v>
      </x:c>
      <x:c r="I19" s="31" t="str"/>
      <x:c r="J19" s="31" t="str"/>
      <x:c r="K19" s="9" t="n">
        <x:f>MAX(E19,IF(G19="",1,INDEX($L$6:$L$75,MATCH(G19,$A$6:$A$75,0))+1),IF(H19="",1,INDEX($L$6:$L$75,MATCH(H19,$A$6:$A$75,0))+1),IF(I19="",1,INDEX($L$6:$L$75,MATCH(I19,$A$6:$A$75,0))+1),IF(J19="",1,INDEX($L$6:$L$75,MATCH(J19,$A$6:$A$75,0))+1))</x:f>
        <x:v>4</x:v>
      </x:c>
      <x:c r="L19" s="9" t="n">
        <x:f>K19+F19-1</x:f>
        <x:v>8</x:v>
      </x:c>
      <x:c r="M19" s="34" t="str">
        <x:f>IF('Start here'!$B$5="","",WORKDAY('Start here'!$B$5-1,K19))</x:f>
      </x:c>
      <x:c r="N19" s="34" t="str">
        <x:f>IF('Start here'!$B$5="","",WORKDAY('Start here'!$B$5-1,L19))</x:f>
      </x:c>
      <x:c r="O19" s="31" t="n">
        <x:v>24</x:v>
      </x:c>
      <x:c r="P19" s="31" t="str">
        <x:v>EXP</x:v>
      </x:c>
      <x:c r="Q19" s="31" t="n">
        <x:v>8</x:v>
      </x:c>
      <x:c r="R19" s="31" t="str">
        <x:v>Not started</x:v>
      </x:c>
      <x:c r="S19" s="32" t="n">
        <x:v>0</x:v>
      </x:c>
      <x:c r="T19" s="9" t="n">
        <x:v>8</x:v>
      </x:c>
      <x:c r="U19" s="31" t="str"/>
    </x:row>
    <x:row r="20" ht="54" customHeight="1">
      <x:c r="A20" s="10" t="str">
        <x:v>G0</x:v>
      </x:c>
      <x:c r="B20" s="10" t="str">
        <x:v>Gate</x:v>
      </x:c>
      <x:c r="C20" s="10" t="str">
        <x:v>G0 authorize baseline work</x:v>
      </x:c>
      <x:c r="D20" s="31" t="str">
        <x:v>MD</x:v>
      </x:c>
      <x:c r="E20" s="31" t="n">
        <x:v>10</x:v>
      </x:c>
      <x:c r="F20" s="31" t="n">
        <x:v>1</x:v>
      </x:c>
      <x:c r="G20" s="31" t="str">
        <x:v>A03</x:v>
      </x:c>
      <x:c r="H20" s="31" t="str">
        <x:v>A05</x:v>
      </x:c>
      <x:c r="I20" s="31" t="str">
        <x:v>A06</x:v>
      </x:c>
      <x:c r="J20" s="31" t="str">
        <x:v>A07</x:v>
      </x:c>
      <x:c r="K20" s="10" t="n">
        <x:f>MAX(E20,IF(G20="",1,INDEX($L$6:$L$75,MATCH(G20,$A$6:$A$75,0))+1),IF(H20="",1,INDEX($L$6:$L$75,MATCH(H20,$A$6:$A$75,0))+1),IF(I20="",1,INDEX($L$6:$L$75,MATCH(I20,$A$6:$A$75,0))+1),IF(J20="",1,INDEX($L$6:$L$75,MATCH(J20,$A$6:$A$75,0))+1))</x:f>
        <x:v>10</x:v>
      </x:c>
      <x:c r="L20" s="10" t="n">
        <x:f>K20+F20-1</x:f>
        <x:v>10</x:v>
      </x:c>
      <x:c r="M20" s="33" t="str">
        <x:f>IF('Start here'!$B$5="","",WORKDAY('Start here'!$B$5-1,K20))</x:f>
      </x:c>
      <x:c r="N20" s="33" t="str">
        <x:f>IF('Start here'!$B$5="","",WORKDAY('Start here'!$B$5-1,L20))</x:f>
      </x:c>
      <x:c r="O20" s="31" t="n">
        <x:v>4</x:v>
      </x:c>
      <x:c r="P20" s="31" t="str">
        <x:v>HP</x:v>
      </x:c>
      <x:c r="Q20" s="31" t="n">
        <x:v>2</x:v>
      </x:c>
      <x:c r="R20" s="31" t="str">
        <x:v>Not started</x:v>
      </x:c>
      <x:c r="S20" s="32" t="n">
        <x:v>0</x:v>
      </x:c>
      <x:c r="T20" s="10" t="n">
        <x:v>1</x:v>
      </x:c>
      <x:c r="U20" s="31" t="str"/>
    </x:row>
    <x:row r="21" ht="54" customHeight="1">
      <x:c r="A21" s="9" t="str">
        <x:v>C01</x:v>
      </x:c>
      <x:c r="B21" s="9" t="str">
        <x:v>Intake</x:v>
      </x:c>
      <x:c r="C21" s="9" t="str">
        <x:v>Build intake manifest and quarantine handler</x:v>
      </x:c>
      <x:c r="D21" s="31" t="str">
        <x:v>AI</x:v>
      </x:c>
      <x:c r="E21" s="31" t="n">
        <x:v>15</x:v>
      </x:c>
      <x:c r="F21" s="31" t="n">
        <x:v>3</x:v>
      </x:c>
      <x:c r="G21" s="31" t="str">
        <x:v>B01</x:v>
      </x:c>
      <x:c r="H21" s="31" t="str">
        <x:v>A05</x:v>
      </x:c>
      <x:c r="I21" s="31" t="str">
        <x:v>G0</x:v>
      </x:c>
      <x:c r="J21" s="31" t="str"/>
      <x:c r="K21" s="9" t="n">
        <x:f>MAX(E21,IF(G21="",1,INDEX($L$6:$L$75,MATCH(G21,$A$6:$A$75,0))+1),IF(H21="",1,INDEX($L$6:$L$75,MATCH(H21,$A$6:$A$75,0))+1),IF(I21="",1,INDEX($L$6:$L$75,MATCH(I21,$A$6:$A$75,0))+1),IF(J21="",1,INDEX($L$6:$L$75,MATCH(J21,$A$6:$A$75,0))+1))</x:f>
        <x:v>15</x:v>
      </x:c>
      <x:c r="L21" s="9" t="n">
        <x:f>K21+F21-1</x:f>
        <x:v>17</x:v>
      </x:c>
      <x:c r="M21" s="34" t="str">
        <x:f>IF('Start here'!$B$5="","",WORKDAY('Start here'!$B$5-1,K21))</x:f>
      </x:c>
      <x:c r="N21" s="34" t="str">
        <x:f>IF('Start here'!$B$5="","",WORKDAY('Start here'!$B$5-1,L21))</x:f>
      </x:c>
      <x:c r="O21" s="31" t="n">
        <x:v>18</x:v>
      </x:c>
      <x:c r="P21" s="31" t="str">
        <x:v>SEC</x:v>
      </x:c>
      <x:c r="Q21" s="31" t="n">
        <x:v>4</x:v>
      </x:c>
      <x:c r="R21" s="31" t="str">
        <x:v>Not started</x:v>
      </x:c>
      <x:c r="S21" s="32" t="n">
        <x:v>0</x:v>
      </x:c>
      <x:c r="T21" s="9" t="n">
        <x:v>4</x:v>
      </x:c>
      <x:c r="U21" s="31" t="str"/>
    </x:row>
    <x:row r="22" ht="54" customHeight="1">
      <x:c r="A22" s="10" t="str">
        <x:v>C02</x:v>
      </x:c>
      <x:c r="B22" s="10" t="str">
        <x:v>Intake</x:v>
      </x:c>
      <x:c r="C22" s="10" t="str">
        <x:v>Acquire first cleared document sample</x:v>
      </x:c>
      <x:c r="D22" s="31" t="str">
        <x:v>KE</x:v>
      </x:c>
      <x:c r="E22" s="31" t="n">
        <x:v>14</x:v>
      </x:c>
      <x:c r="F22" s="31" t="n">
        <x:v>3</x:v>
      </x:c>
      <x:c r="G22" s="31" t="str">
        <x:v>B01</x:v>
      </x:c>
      <x:c r="H22" s="31" t="str">
        <x:v>A05</x:v>
      </x:c>
      <x:c r="I22" s="31" t="str">
        <x:v>G0</x:v>
      </x:c>
      <x:c r="J22" s="31" t="str"/>
      <x:c r="K22" s="10" t="n">
        <x:f>MAX(E22,IF(G22="",1,INDEX($L$6:$L$75,MATCH(G22,$A$6:$A$75,0))+1),IF(H22="",1,INDEX($L$6:$L$75,MATCH(H22,$A$6:$A$75,0))+1),IF(I22="",1,INDEX($L$6:$L$75,MATCH(I22,$A$6:$A$75,0))+1),IF(J22="",1,INDEX($L$6:$L$75,MATCH(J22,$A$6:$A$75,0))+1))</x:f>
        <x:v>14</x:v>
      </x:c>
      <x:c r="L22" s="10" t="n">
        <x:f>K22+F22-1</x:f>
        <x:v>16</x:v>
      </x:c>
      <x:c r="M22" s="33" t="str">
        <x:f>IF('Start here'!$B$5="","",WORKDAY('Start here'!$B$5-1,K22))</x:f>
      </x:c>
      <x:c r="N22" s="33" t="str">
        <x:f>IF('Start here'!$B$5="","",WORKDAY('Start here'!$B$5-1,L22))</x:f>
      </x:c>
      <x:c r="O22" s="31" t="n">
        <x:v>16</x:v>
      </x:c>
      <x:c r="P22" s="31" t="str">
        <x:v>MD</x:v>
      </x:c>
      <x:c r="Q22" s="31" t="n">
        <x:v>3</x:v>
      </x:c>
      <x:c r="R22" s="31" t="str">
        <x:v>Not started</x:v>
      </x:c>
      <x:c r="S22" s="32" t="n">
        <x:v>0</x:v>
      </x:c>
      <x:c r="T22" s="10" t="n">
        <x:v>3</x:v>
      </x:c>
      <x:c r="U22" s="31" t="str"/>
    </x:row>
    <x:row r="23" ht="54" customHeight="1">
      <x:c r="A23" s="9" t="str">
        <x:v>C03</x:v>
      </x:c>
      <x:c r="B23" s="9" t="str">
        <x:v>Intake</x:v>
      </x:c>
      <x:c r="C23" s="9" t="str">
        <x:v>Implement digital PDF and HTML extraction</x:v>
      </x:c>
      <x:c r="D23" s="31" t="str">
        <x:v>AI</x:v>
      </x:c>
      <x:c r="E23" s="31" t="n">
        <x:v>18</x:v>
      </x:c>
      <x:c r="F23" s="31" t="n">
        <x:v>3</x:v>
      </x:c>
      <x:c r="G23" s="31" t="str">
        <x:v>C01</x:v>
      </x:c>
      <x:c r="H23" s="31" t="str">
        <x:v>C02</x:v>
      </x:c>
      <x:c r="I23" s="31" t="str"/>
      <x:c r="J23" s="31" t="str"/>
      <x:c r="K23" s="9" t="n">
        <x:f>MAX(E23,IF(G23="",1,INDEX($L$6:$L$75,MATCH(G23,$A$6:$A$75,0))+1),IF(H23="",1,INDEX($L$6:$L$75,MATCH(H23,$A$6:$A$75,0))+1),IF(I23="",1,INDEX($L$6:$L$75,MATCH(I23,$A$6:$A$75,0))+1),IF(J23="",1,INDEX($L$6:$L$75,MATCH(J23,$A$6:$A$75,0))+1))</x:f>
        <x:v>18</x:v>
      </x:c>
      <x:c r="L23" s="9" t="n">
        <x:f>K23+F23-1</x:f>
        <x:v>20</x:v>
      </x:c>
      <x:c r="M23" s="34" t="str">
        <x:f>IF('Start here'!$B$5="","",WORKDAY('Start here'!$B$5-1,K23))</x:f>
      </x:c>
      <x:c r="N23" s="34" t="str">
        <x:f>IF('Start here'!$B$5="","",WORKDAY('Start here'!$B$5-1,L23))</x:f>
      </x:c>
      <x:c r="O23" s="31" t="n">
        <x:v>20</x:v>
      </x:c>
      <x:c r="P23" s="31" t="str">
        <x:v>KE</x:v>
      </x:c>
      <x:c r="Q23" s="31" t="n">
        <x:v>6</x:v>
      </x:c>
      <x:c r="R23" s="31" t="str">
        <x:v>Not started</x:v>
      </x:c>
      <x:c r="S23" s="32" t="n">
        <x:v>0</x:v>
      </x:c>
      <x:c r="T23" s="9" t="n">
        <x:v>5</x:v>
      </x:c>
      <x:c r="U23" s="31" t="str"/>
    </x:row>
    <x:row r="24" ht="54" customHeight="1">
      <x:c r="A24" s="10" t="str">
        <x:v>C04</x:v>
      </x:c>
      <x:c r="B24" s="10" t="str">
        <x:v>Intake</x:v>
      </x:c>
      <x:c r="C24" s="10" t="str">
        <x:v>Implement scan OCR and image extraction</x:v>
      </x:c>
      <x:c r="D24" s="31" t="str">
        <x:v>OPS</x:v>
      </x:c>
      <x:c r="E24" s="31" t="n">
        <x:v>18</x:v>
      </x:c>
      <x:c r="F24" s="31" t="n">
        <x:v>4</x:v>
      </x:c>
      <x:c r="G24" s="31" t="str">
        <x:v>C01</x:v>
      </x:c>
      <x:c r="H24" s="31" t="str">
        <x:v>C02</x:v>
      </x:c>
      <x:c r="I24" s="31" t="str"/>
      <x:c r="J24" s="31" t="str"/>
      <x:c r="K24" s="10" t="n">
        <x:f>MAX(E24,IF(G24="",1,INDEX($L$6:$L$75,MATCH(G24,$A$6:$A$75,0))+1),IF(H24="",1,INDEX($L$6:$L$75,MATCH(H24,$A$6:$A$75,0))+1),IF(I24="",1,INDEX($L$6:$L$75,MATCH(I24,$A$6:$A$75,0))+1),IF(J24="",1,INDEX($L$6:$L$75,MATCH(J24,$A$6:$A$75,0))+1))</x:f>
        <x:v>18</x:v>
      </x:c>
      <x:c r="L24" s="10" t="n">
        <x:f>K24+F24-1</x:f>
        <x:v>21</x:v>
      </x:c>
      <x:c r="M24" s="33" t="str">
        <x:f>IF('Start here'!$B$5="","",WORKDAY('Start here'!$B$5-1,K24))</x:f>
      </x:c>
      <x:c r="N24" s="33" t="str">
        <x:f>IF('Start here'!$B$5="","",WORKDAY('Start here'!$B$5-1,L24))</x:f>
      </x:c>
      <x:c r="O24" s="31" t="n">
        <x:v>24</x:v>
      </x:c>
      <x:c r="P24" s="31" t="str">
        <x:v>PAE</x:v>
      </x:c>
      <x:c r="Q24" s="31" t="n">
        <x:v>8</x:v>
      </x:c>
      <x:c r="R24" s="31" t="str">
        <x:v>Not started</x:v>
      </x:c>
      <x:c r="S24" s="32" t="n">
        <x:v>0</x:v>
      </x:c>
      <x:c r="T24" s="10" t="n">
        <x:v>5</x:v>
      </x:c>
      <x:c r="U24" s="31" t="str"/>
    </x:row>
    <x:row r="25" ht="54" customHeight="1">
      <x:c r="A25" s="9" t="str">
        <x:v>C05</x:v>
      </x:c>
      <x:c r="B25" s="9" t="str">
        <x:v>Intake</x:v>
      </x:c>
      <x:c r="C25" s="9" t="str">
        <x:v>Implement Word and slide extraction</x:v>
      </x:c>
      <x:c r="D25" s="31" t="str">
        <x:v>KE</x:v>
      </x:c>
      <x:c r="E25" s="31" t="n">
        <x:v>23</x:v>
      </x:c>
      <x:c r="F25" s="31" t="n">
        <x:v>3</x:v>
      </x:c>
      <x:c r="G25" s="31" t="str">
        <x:v>C01</x:v>
      </x:c>
      <x:c r="H25" s="31" t="str"/>
      <x:c r="I25" s="31" t="str"/>
      <x:c r="J25" s="31" t="str"/>
      <x:c r="K25" s="9" t="n">
        <x:f>MAX(E25,IF(G25="",1,INDEX($L$6:$L$75,MATCH(G25,$A$6:$A$75,0))+1),IF(H25="",1,INDEX($L$6:$L$75,MATCH(H25,$A$6:$A$75,0))+1),IF(I25="",1,INDEX($L$6:$L$75,MATCH(I25,$A$6:$A$75,0))+1),IF(J25="",1,INDEX($L$6:$L$75,MATCH(J25,$A$6:$A$75,0))+1))</x:f>
        <x:v>23</x:v>
      </x:c>
      <x:c r="L25" s="9" t="n">
        <x:f>K25+F25-1</x:f>
        <x:v>25</x:v>
      </x:c>
      <x:c r="M25" s="34" t="str">
        <x:f>IF('Start here'!$B$5="","",WORKDAY('Start here'!$B$5-1,K25))</x:f>
      </x:c>
      <x:c r="N25" s="34" t="str">
        <x:f>IF('Start here'!$B$5="","",WORKDAY('Start here'!$B$5-1,L25))</x:f>
      </x:c>
      <x:c r="O25" s="31" t="n">
        <x:v>16</x:v>
      </x:c>
      <x:c r="P25" s="31" t="str">
        <x:v>PAE</x:v>
      </x:c>
      <x:c r="Q25" s="31" t="n">
        <x:v>4</x:v>
      </x:c>
      <x:c r="R25" s="31" t="str">
        <x:v>Not started</x:v>
      </x:c>
      <x:c r="S25" s="32" t="n">
        <x:v>0</x:v>
      </x:c>
      <x:c r="T25" s="9" t="n">
        <x:v>6</x:v>
      </x:c>
      <x:c r="U25" s="31" t="str"/>
    </x:row>
    <x:row r="26" ht="54" customHeight="1">
      <x:c r="A26" s="10" t="str">
        <x:v>C06</x:v>
      </x:c>
      <x:c r="B26" s="10" t="str">
        <x:v>Intake</x:v>
      </x:c>
      <x:c r="C26" s="10" t="str">
        <x:v>Implement engineering image annotation</x:v>
      </x:c>
      <x:c r="D26" s="31" t="str">
        <x:v>PAE</x:v>
      </x:c>
      <x:c r="E26" s="31" t="n">
        <x:v>30</x:v>
      </x:c>
      <x:c r="F26" s="31" t="n">
        <x:v>5</x:v>
      </x:c>
      <x:c r="G26" s="31" t="str">
        <x:v>C04</x:v>
      </x:c>
      <x:c r="H26" s="31" t="str">
        <x:v>A07</x:v>
      </x:c>
      <x:c r="I26" s="31" t="str"/>
      <x:c r="J26" s="31" t="str"/>
      <x:c r="K26" s="10" t="n">
        <x:f>MAX(E26,IF(G26="",1,INDEX($L$6:$L$75,MATCH(G26,$A$6:$A$75,0))+1),IF(H26="",1,INDEX($L$6:$L$75,MATCH(H26,$A$6:$A$75,0))+1),IF(I26="",1,INDEX($L$6:$L$75,MATCH(I26,$A$6:$A$75,0))+1),IF(J26="",1,INDEX($L$6:$L$75,MATCH(J26,$A$6:$A$75,0))+1))</x:f>
        <x:v>30</x:v>
      </x:c>
      <x:c r="L26" s="10" t="n">
        <x:f>K26+F26-1</x:f>
        <x:v>34</x:v>
      </x:c>
      <x:c r="M26" s="33" t="str">
        <x:f>IF('Start here'!$B$5="","",WORKDAY('Start here'!$B$5-1,K26))</x:f>
      </x:c>
      <x:c r="N26" s="33" t="str">
        <x:f>IF('Start here'!$B$5="","",WORKDAY('Start here'!$B$5-1,L26))</x:f>
      </x:c>
      <x:c r="O26" s="31" t="n">
        <x:v>28</x:v>
      </x:c>
      <x:c r="P26" s="31" t="str">
        <x:v>EXP</x:v>
      </x:c>
      <x:c r="Q26" s="31" t="n">
        <x:v>12</x:v>
      </x:c>
      <x:c r="R26" s="31" t="str">
        <x:v>Not started</x:v>
      </x:c>
      <x:c r="S26" s="32" t="n">
        <x:v>0</x:v>
      </x:c>
      <x:c r="T26" s="10" t="n">
        <x:v>7</x:v>
      </x:c>
      <x:c r="U26" s="31" t="str"/>
    </x:row>
    <x:row r="27" ht="54" customHeight="1">
      <x:c r="A27" s="9" t="str">
        <x:v>C07</x:v>
      </x:c>
      <x:c r="B27" s="9" t="str">
        <x:v>Intake</x:v>
      </x:c>
      <x:c r="C27" s="9" t="str">
        <x:v>Implement email thread normalization</x:v>
      </x:c>
      <x:c r="D27" s="31" t="str">
        <x:v>KE</x:v>
      </x:c>
      <x:c r="E27" s="31" t="n">
        <x:v>26</x:v>
      </x:c>
      <x:c r="F27" s="31" t="n">
        <x:v>4</x:v>
      </x:c>
      <x:c r="G27" s="31" t="str">
        <x:v>C01</x:v>
      </x:c>
      <x:c r="H27" s="31" t="str">
        <x:v>A05</x:v>
      </x:c>
      <x:c r="I27" s="31" t="str"/>
      <x:c r="J27" s="31" t="str"/>
      <x:c r="K27" s="9" t="n">
        <x:f>MAX(E27,IF(G27="",1,INDEX($L$6:$L$75,MATCH(G27,$A$6:$A$75,0))+1),IF(H27="",1,INDEX($L$6:$L$75,MATCH(H27,$A$6:$A$75,0))+1),IF(I27="",1,INDEX($L$6:$L$75,MATCH(I27,$A$6:$A$75,0))+1),IF(J27="",1,INDEX($L$6:$L$75,MATCH(J27,$A$6:$A$75,0))+1))</x:f>
        <x:v>26</x:v>
      </x:c>
      <x:c r="L27" s="9" t="n">
        <x:f>K27+F27-1</x:f>
        <x:v>29</x:v>
      </x:c>
      <x:c r="M27" s="34" t="str">
        <x:f>IF('Start here'!$B$5="","",WORKDAY('Start here'!$B$5-1,K27))</x:f>
      </x:c>
      <x:c r="N27" s="34" t="str">
        <x:f>IF('Start here'!$B$5="","",WORKDAY('Start here'!$B$5-1,L27))</x:f>
      </x:c>
      <x:c r="O27" s="31" t="n">
        <x:v>20</x:v>
      </x:c>
      <x:c r="P27" s="31" t="str">
        <x:v>SEC</x:v>
      </x:c>
      <x:c r="Q27" s="31" t="n">
        <x:v>5</x:v>
      </x:c>
      <x:c r="R27" s="31" t="str">
        <x:v>Not started</x:v>
      </x:c>
      <x:c r="S27" s="32" t="n">
        <x:v>0</x:v>
      </x:c>
      <x:c r="T27" s="9" t="n">
        <x:v>6</x:v>
      </x:c>
      <x:c r="U27" s="31" t="str"/>
    </x:row>
    <x:row r="28" ht="54" customHeight="1">
      <x:c r="A28" s="10" t="str">
        <x:v>C08</x:v>
      </x:c>
      <x:c r="B28" s="10" t="str">
        <x:v>Intake</x:v>
      </x:c>
      <x:c r="C28" s="10" t="str">
        <x:v>Implement tabular operating-data conversion</x:v>
      </x:c>
      <x:c r="D28" s="31" t="str">
        <x:v>PAE</x:v>
      </x:c>
      <x:c r="E28" s="31" t="n">
        <x:v>26</x:v>
      </x:c>
      <x:c r="F28" s="31" t="n">
        <x:v>4</x:v>
      </x:c>
      <x:c r="G28" s="31" t="str">
        <x:v>C01</x:v>
      </x:c>
      <x:c r="H28" s="31" t="str"/>
      <x:c r="I28" s="31" t="str"/>
      <x:c r="J28" s="31" t="str"/>
      <x:c r="K28" s="10" t="n">
        <x:f>MAX(E28,IF(G28="",1,INDEX($L$6:$L$75,MATCH(G28,$A$6:$A$75,0))+1),IF(H28="",1,INDEX($L$6:$L$75,MATCH(H28,$A$6:$A$75,0))+1),IF(I28="",1,INDEX($L$6:$L$75,MATCH(I28,$A$6:$A$75,0))+1),IF(J28="",1,INDEX($L$6:$L$75,MATCH(J28,$A$6:$A$75,0))+1))</x:f>
        <x:v>26</x:v>
      </x:c>
      <x:c r="L28" s="10" t="n">
        <x:f>K28+F28-1</x:f>
        <x:v>29</x:v>
      </x:c>
      <x:c r="M28" s="33" t="str">
        <x:f>IF('Start here'!$B$5="","",WORKDAY('Start here'!$B$5-1,K28))</x:f>
      </x:c>
      <x:c r="N28" s="33" t="str">
        <x:f>IF('Start here'!$B$5="","",WORKDAY('Start here'!$B$5-1,L28))</x:f>
      </x:c>
      <x:c r="O28" s="31" t="n">
        <x:v>24</x:v>
      </x:c>
      <x:c r="P28" s="31" t="str">
        <x:v>EXP</x:v>
      </x:c>
      <x:c r="Q28" s="31" t="n">
        <x:v>6</x:v>
      </x:c>
      <x:c r="R28" s="31" t="str">
        <x:v>Not started</x:v>
      </x:c>
      <x:c r="S28" s="32" t="n">
        <x:v>0</x:v>
      </x:c>
      <x:c r="T28" s="10" t="n">
        <x:v>7</x:v>
      </x:c>
      <x:c r="U28" s="31" t="str"/>
    </x:row>
    <x:row r="29" ht="54" customHeight="1">
      <x:c r="A29" s="9" t="str">
        <x:v>C09</x:v>
      </x:c>
      <x:c r="B29" s="9" t="str">
        <x:v>Intake</x:v>
      </x:c>
      <x:c r="C29" s="9" t="str">
        <x:v>Implement interview transcription route</x:v>
      </x:c>
      <x:c r="D29" s="31" t="str">
        <x:v>KE</x:v>
      </x:c>
      <x:c r="E29" s="31" t="n">
        <x:v>30</x:v>
      </x:c>
      <x:c r="F29" s="31" t="n">
        <x:v>4</x:v>
      </x:c>
      <x:c r="G29" s="31" t="str">
        <x:v>C01</x:v>
      </x:c>
      <x:c r="H29" s="31" t="str">
        <x:v>A05</x:v>
      </x:c>
      <x:c r="I29" s="31" t="str"/>
      <x:c r="J29" s="31" t="str"/>
      <x:c r="K29" s="9" t="n">
        <x:f>MAX(E29,IF(G29="",1,INDEX($L$6:$L$75,MATCH(G29,$A$6:$A$75,0))+1),IF(H29="",1,INDEX($L$6:$L$75,MATCH(H29,$A$6:$A$75,0))+1),IF(I29="",1,INDEX($L$6:$L$75,MATCH(I29,$A$6:$A$75,0))+1),IF(J29="",1,INDEX($L$6:$L$75,MATCH(J29,$A$6:$A$75,0))+1))</x:f>
        <x:v>30</x:v>
      </x:c>
      <x:c r="L29" s="9" t="n">
        <x:f>K29+F29-1</x:f>
        <x:v>33</x:v>
      </x:c>
      <x:c r="M29" s="34" t="str">
        <x:f>IF('Start here'!$B$5="","",WORKDAY('Start here'!$B$5-1,K29))</x:f>
      </x:c>
      <x:c r="N29" s="34" t="str">
        <x:f>IF('Start here'!$B$5="","",WORKDAY('Start here'!$B$5-1,L29))</x:f>
      </x:c>
      <x:c r="O29" s="31" t="n">
        <x:v>20</x:v>
      </x:c>
      <x:c r="P29" s="31" t="str">
        <x:v>EXP</x:v>
      </x:c>
      <x:c r="Q29" s="31" t="n">
        <x:v>10</x:v>
      </x:c>
      <x:c r="R29" s="31" t="str">
        <x:v>Not started</x:v>
      </x:c>
      <x:c r="S29" s="32" t="n">
        <x:v>0</x:v>
      </x:c>
      <x:c r="T29" s="9" t="n">
        <x:v>6</x:v>
      </x:c>
      <x:c r="U29" s="31" t="str"/>
    </x:row>
    <x:row r="30" ht="54" customHeight="1">
      <x:c r="A30" s="10" t="str">
        <x:v>C10</x:v>
      </x:c>
      <x:c r="B30" s="10" t="str">
        <x:v>Intake</x:v>
      </x:c>
      <x:c r="C30" s="10" t="str">
        <x:v>Normalize text tables equations and units</x:v>
      </x:c>
      <x:c r="D30" s="31" t="str">
        <x:v>PAE</x:v>
      </x:c>
      <x:c r="E30" s="31" t="n">
        <x:v>35</x:v>
      </x:c>
      <x:c r="F30" s="31" t="n">
        <x:v>4</x:v>
      </x:c>
      <x:c r="G30" s="31" t="str">
        <x:v>C03</x:v>
      </x:c>
      <x:c r="H30" s="31" t="str">
        <x:v>C04</x:v>
      </x:c>
      <x:c r="I30" s="31" t="str">
        <x:v>C05</x:v>
      </x:c>
      <x:c r="J30" s="31" t="str">
        <x:v>C08</x:v>
      </x:c>
      <x:c r="K30" s="10" t="n">
        <x:f>MAX(E30,IF(G30="",1,INDEX($L$6:$L$75,MATCH(G30,$A$6:$A$75,0))+1),IF(H30="",1,INDEX($L$6:$L$75,MATCH(H30,$A$6:$A$75,0))+1),IF(I30="",1,INDEX($L$6:$L$75,MATCH(I30,$A$6:$A$75,0))+1),IF(J30="",1,INDEX($L$6:$L$75,MATCH(J30,$A$6:$A$75,0))+1))</x:f>
        <x:v>35</x:v>
      </x:c>
      <x:c r="L30" s="10" t="n">
        <x:f>K30+F30-1</x:f>
        <x:v>38</x:v>
      </x:c>
      <x:c r="M30" s="33" t="str">
        <x:f>IF('Start here'!$B$5="","",WORKDAY('Start here'!$B$5-1,K30))</x:f>
      </x:c>
      <x:c r="N30" s="33" t="str">
        <x:f>IF('Start here'!$B$5="","",WORKDAY('Start here'!$B$5-1,L30))</x:f>
      </x:c>
      <x:c r="O30" s="31" t="n">
        <x:v>22</x:v>
      </x:c>
      <x:c r="P30" s="31" t="str">
        <x:v>EXP</x:v>
      </x:c>
      <x:c r="Q30" s="31" t="n">
        <x:v>8</x:v>
      </x:c>
      <x:c r="R30" s="31" t="str">
        <x:v>Not started</x:v>
      </x:c>
      <x:c r="S30" s="32" t="n">
        <x:v>0</x:v>
      </x:c>
      <x:c r="T30" s="10" t="n">
        <x:v>8</x:v>
      </x:c>
      <x:c r="U30" s="31" t="str"/>
    </x:row>
    <x:row r="31" ht="54" customHeight="1">
      <x:c r="A31" s="9" t="str">
        <x:v>C11</x:v>
      </x:c>
      <x:c r="B31" s="9" t="str">
        <x:v>Intake</x:v>
      </x:c>
      <x:c r="C31" s="9" t="str">
        <x:v>Add deduplication and case-family grouping</x:v>
      </x:c>
      <x:c r="D31" s="31" t="str">
        <x:v>AI</x:v>
      </x:c>
      <x:c r="E31" s="31" t="n">
        <x:v>30</x:v>
      </x:c>
      <x:c r="F31" s="31" t="n">
        <x:v>3</x:v>
      </x:c>
      <x:c r="G31" s="31" t="str">
        <x:v>C03</x:v>
      </x:c>
      <x:c r="H31" s="31" t="str">
        <x:v>C04</x:v>
      </x:c>
      <x:c r="I31" s="31" t="str">
        <x:v>C07</x:v>
      </x:c>
      <x:c r="J31" s="31" t="str"/>
      <x:c r="K31" s="9" t="n">
        <x:f>MAX(E31,IF(G31="",1,INDEX($L$6:$L$75,MATCH(G31,$A$6:$A$75,0))+1),IF(H31="",1,INDEX($L$6:$L$75,MATCH(H31,$A$6:$A$75,0))+1),IF(I31="",1,INDEX($L$6:$L$75,MATCH(I31,$A$6:$A$75,0))+1),IF(J31="",1,INDEX($L$6:$L$75,MATCH(J31,$A$6:$A$75,0))+1))</x:f>
        <x:v>30</x:v>
      </x:c>
      <x:c r="L31" s="9" t="n">
        <x:f>K31+F31-1</x:f>
        <x:v>32</x:v>
      </x:c>
      <x:c r="M31" s="34" t="str">
        <x:f>IF('Start here'!$B$5="","",WORKDAY('Start here'!$B$5-1,K31))</x:f>
      </x:c>
      <x:c r="N31" s="34" t="str">
        <x:f>IF('Start here'!$B$5="","",WORKDAY('Start here'!$B$5-1,L31))</x:f>
      </x:c>
      <x:c r="O31" s="31" t="n">
        <x:v>16</x:v>
      </x:c>
      <x:c r="P31" s="31" t="str">
        <x:v>KE</x:v>
      </x:c>
      <x:c r="Q31" s="31" t="n">
        <x:v>6</x:v>
      </x:c>
      <x:c r="R31" s="31" t="str">
        <x:v>Not started</x:v>
      </x:c>
      <x:c r="S31" s="32" t="n">
        <x:v>0</x:v>
      </x:c>
      <x:c r="T31" s="9" t="n">
        <x:v>8</x:v>
      </x:c>
      <x:c r="U31" s="31" t="str"/>
    </x:row>
    <x:row r="32" ht="54" customHeight="1">
      <x:c r="A32" s="10" t="str">
        <x:v>C12</x:v>
      </x:c>
      <x:c r="B32" s="10" t="str">
        <x:v>Intake</x:v>
      </x:c>
      <x:c r="C32" s="10" t="str">
        <x:v>Create batch audit and retry controls</x:v>
      </x:c>
      <x:c r="D32" s="31" t="str">
        <x:v>OPS</x:v>
      </x:c>
      <x:c r="E32" s="31" t="n">
        <x:v>39</x:v>
      </x:c>
      <x:c r="F32" s="31" t="n">
        <x:v>2</x:v>
      </x:c>
      <x:c r="G32" s="31" t="str">
        <x:v>C10</x:v>
      </x:c>
      <x:c r="H32" s="31" t="str">
        <x:v>C11</x:v>
      </x:c>
      <x:c r="I32" s="31" t="str"/>
      <x:c r="J32" s="31" t="str"/>
      <x:c r="K32" s="10" t="n">
        <x:f>MAX(E32,IF(G32="",1,INDEX($L$6:$L$75,MATCH(G32,$A$6:$A$75,0))+1),IF(H32="",1,INDEX($L$6:$L$75,MATCH(H32,$A$6:$A$75,0))+1),IF(I32="",1,INDEX($L$6:$L$75,MATCH(I32,$A$6:$A$75,0))+1),IF(J32="",1,INDEX($L$6:$L$75,MATCH(J32,$A$6:$A$75,0))+1))</x:f>
        <x:v>39</x:v>
      </x:c>
      <x:c r="L32" s="10" t="n">
        <x:f>K32+F32-1</x:f>
        <x:v>40</x:v>
      </x:c>
      <x:c r="M32" s="33" t="str">
        <x:f>IF('Start here'!$B$5="","",WORKDAY('Start here'!$B$5-1,K32))</x:f>
      </x:c>
      <x:c r="N32" s="33" t="str">
        <x:f>IF('Start here'!$B$5="","",WORKDAY('Start here'!$B$5-1,L32))</x:f>
      </x:c>
      <x:c r="O32" s="31" t="n">
        <x:v>10</x:v>
      </x:c>
      <x:c r="P32" s="31" t="str">
        <x:v>AI</x:v>
      </x:c>
      <x:c r="Q32" s="31" t="n">
        <x:v>3</x:v>
      </x:c>
      <x:c r="R32" s="31" t="str">
        <x:v>Not started</x:v>
      </x:c>
      <x:c r="S32" s="32" t="n">
        <x:v>0</x:v>
      </x:c>
      <x:c r="T32" s="10" t="n">
        <x:v>4</x:v>
      </x:c>
      <x:c r="U32" s="31" t="str"/>
    </x:row>
    <x:row r="33" ht="54" customHeight="1">
      <x:c r="A33" s="9" t="str">
        <x:v>D01</x:v>
      </x:c>
      <x:c r="B33" s="9" t="str">
        <x:v>Curation</x:v>
      </x:c>
      <x:c r="C33" s="9" t="str">
        <x:v>Author first original expert cases</x:v>
      </x:c>
      <x:c r="D33" s="31" t="str">
        <x:v>KE</x:v>
      </x:c>
      <x:c r="E33" s="31" t="n">
        <x:v>17</x:v>
      </x:c>
      <x:c r="F33" s="31" t="n">
        <x:v>6</x:v>
      </x:c>
      <x:c r="G33" s="31" t="str">
        <x:v>C02</x:v>
      </x:c>
      <x:c r="H33" s="31" t="str">
        <x:v>A07</x:v>
      </x:c>
      <x:c r="I33" s="31" t="str"/>
      <x:c r="J33" s="31" t="str"/>
      <x:c r="K33" s="9" t="n">
        <x:f>MAX(E33,IF(G33="",1,INDEX($L$6:$L$75,MATCH(G33,$A$6:$A$75,0))+1),IF(H33="",1,INDEX($L$6:$L$75,MATCH(H33,$A$6:$A$75,0))+1),IF(I33="",1,INDEX($L$6:$L$75,MATCH(I33,$A$6:$A$75,0))+1),IF(J33="",1,INDEX($L$6:$L$75,MATCH(J33,$A$6:$A$75,0))+1))</x:f>
        <x:v>17</x:v>
      </x:c>
      <x:c r="L33" s="9" t="n">
        <x:f>K33+F33-1</x:f>
        <x:v>22</x:v>
      </x:c>
      <x:c r="M33" s="34" t="str">
        <x:f>IF('Start here'!$B$5="","",WORKDAY('Start here'!$B$5-1,K33))</x:f>
      </x:c>
      <x:c r="N33" s="34" t="str">
        <x:f>IF('Start here'!$B$5="","",WORKDAY('Start here'!$B$5-1,L33))</x:f>
      </x:c>
      <x:c r="O33" s="31" t="n">
        <x:v>32</x:v>
      </x:c>
      <x:c r="P33" s="31" t="str">
        <x:v>EXP</x:v>
      </x:c>
      <x:c r="Q33" s="31" t="n">
        <x:v>24</x:v>
      </x:c>
      <x:c r="R33" s="31" t="str">
        <x:v>Not started</x:v>
      </x:c>
      <x:c r="S33" s="32" t="n">
        <x:v>0</x:v>
      </x:c>
      <x:c r="T33" s="9" t="n">
        <x:v>9</x:v>
      </x:c>
      <x:c r="U33" s="31" t="str"/>
    </x:row>
    <x:row r="34" ht="54" customHeight="1">
      <x:c r="A34" s="10" t="str">
        <x:v>D02</x:v>
      </x:c>
      <x:c r="B34" s="10" t="str">
        <x:v>Curation</x:v>
      </x:c>
      <x:c r="C34" s="10" t="str">
        <x:v>Freeze initial family splits</x:v>
      </x:c>
      <x:c r="D34" s="31" t="str">
        <x:v>TD</x:v>
      </x:c>
      <x:c r="E34" s="31" t="n">
        <x:v>33</x:v>
      </x:c>
      <x:c r="F34" s="31" t="n">
        <x:v>2</x:v>
      </x:c>
      <x:c r="G34" s="31" t="str">
        <x:v>D01</x:v>
      </x:c>
      <x:c r="H34" s="31" t="str">
        <x:v>C11</x:v>
      </x:c>
      <x:c r="I34" s="31" t="str"/>
      <x:c r="J34" s="31" t="str"/>
      <x:c r="K34" s="10" t="n">
        <x:f>MAX(E34,IF(G34="",1,INDEX($L$6:$L$75,MATCH(G34,$A$6:$A$75,0))+1),IF(H34="",1,INDEX($L$6:$L$75,MATCH(H34,$A$6:$A$75,0))+1),IF(I34="",1,INDEX($L$6:$L$75,MATCH(I34,$A$6:$A$75,0))+1),IF(J34="",1,INDEX($L$6:$L$75,MATCH(J34,$A$6:$A$75,0))+1))</x:f>
        <x:v>33</x:v>
      </x:c>
      <x:c r="L34" s="10" t="n">
        <x:f>K34+F34-1</x:f>
        <x:v>34</x:v>
      </x:c>
      <x:c r="M34" s="33" t="str">
        <x:f>IF('Start here'!$B$5="","",WORKDAY('Start here'!$B$5-1,K34))</x:f>
      </x:c>
      <x:c r="N34" s="33" t="str">
        <x:f>IF('Start here'!$B$5="","",WORKDAY('Start here'!$B$5-1,L34))</x:f>
      </x:c>
      <x:c r="O34" s="31" t="n">
        <x:v>12</x:v>
      </x:c>
      <x:c r="P34" s="31" t="str">
        <x:v>EXP</x:v>
      </x:c>
      <x:c r="Q34" s="31" t="n">
        <x:v>8</x:v>
      </x:c>
      <x:c r="R34" s="31" t="str">
        <x:v>Not started</x:v>
      </x:c>
      <x:c r="S34" s="32" t="n">
        <x:v>0</x:v>
      </x:c>
      <x:c r="T34" s="10" t="n">
        <x:v>9</x:v>
      </x:c>
      <x:c r="U34" s="31" t="str"/>
    </x:row>
    <x:row r="35" ht="54" customHeight="1">
      <x:c r="A35" s="9" t="str">
        <x:v>D03</x:v>
      </x:c>
      <x:c r="B35" s="9" t="str">
        <x:v>Curation</x:v>
      </x:c>
      <x:c r="C35" s="9" t="str">
        <x:v>Build first 400 reviewed SFT examples</x:v>
      </x:c>
      <x:c r="D35" s="31" t="str">
        <x:v>KE</x:v>
      </x:c>
      <x:c r="E35" s="31" t="n">
        <x:v>42</x:v>
      </x:c>
      <x:c r="F35" s="31" t="n">
        <x:v>5</x:v>
      </x:c>
      <x:c r="G35" s="31" t="str">
        <x:v>D02</x:v>
      </x:c>
      <x:c r="H35" s="31" t="str">
        <x:v>C10</x:v>
      </x:c>
      <x:c r="I35" s="31" t="str">
        <x:v>C06</x:v>
      </x:c>
      <x:c r="J35" s="31" t="str"/>
      <x:c r="K35" s="9" t="n">
        <x:f>MAX(E35,IF(G35="",1,INDEX($L$6:$L$75,MATCH(G35,$A$6:$A$75,0))+1),IF(H35="",1,INDEX($L$6:$L$75,MATCH(H35,$A$6:$A$75,0))+1),IF(I35="",1,INDEX($L$6:$L$75,MATCH(I35,$A$6:$A$75,0))+1),IF(J35="",1,INDEX($L$6:$L$75,MATCH(J35,$A$6:$A$75,0))+1))</x:f>
        <x:v>42</x:v>
      </x:c>
      <x:c r="L35" s="9" t="n">
        <x:f>K35+F35-1</x:f>
        <x:v>46</x:v>
      </x:c>
      <x:c r="M35" s="34" t="str">
        <x:f>IF('Start here'!$B$5="","",WORKDAY('Start here'!$B$5-1,K35))</x:f>
      </x:c>
      <x:c r="N35" s="34" t="str">
        <x:f>IF('Start here'!$B$5="","",WORKDAY('Start here'!$B$5-1,L35))</x:f>
      </x:c>
      <x:c r="O35" s="31" t="n">
        <x:v>40</x:v>
      </x:c>
      <x:c r="P35" s="31" t="str">
        <x:v>EXP</x:v>
      </x:c>
      <x:c r="Q35" s="31" t="n">
        <x:v>50</x:v>
      </x:c>
      <x:c r="R35" s="31" t="str">
        <x:v>Not started</x:v>
      </x:c>
      <x:c r="S35" s="32" t="n">
        <x:v>0</x:v>
      </x:c>
      <x:c r="T35" s="9" t="n">
        <x:v>10</x:v>
      </x:c>
      <x:c r="U35" s="31" t="str"/>
    </x:row>
    <x:row r="36" ht="54" customHeight="1">
      <x:c r="A36" s="10" t="str">
        <x:v>D04</x:v>
      </x:c>
      <x:c r="B36" s="10" t="str">
        <x:v>Curation</x:v>
      </x:c>
      <x:c r="C36" s="10" t="str">
        <x:v>Build baseline development questions</x:v>
      </x:c>
      <x:c r="D36" s="31" t="str">
        <x:v>TD</x:v>
      </x:c>
      <x:c r="E36" s="31" t="n">
        <x:v>35</x:v>
      </x:c>
      <x:c r="F36" s="31" t="n">
        <x:v>4</x:v>
      </x:c>
      <x:c r="G36" s="31" t="str">
        <x:v>D02</x:v>
      </x:c>
      <x:c r="H36" s="31" t="str"/>
      <x:c r="I36" s="31" t="str"/>
      <x:c r="J36" s="31" t="str"/>
      <x:c r="K36" s="10" t="n">
        <x:f>MAX(E36,IF(G36="",1,INDEX($L$6:$L$75,MATCH(G36,$A$6:$A$75,0))+1),IF(H36="",1,INDEX($L$6:$L$75,MATCH(H36,$A$6:$A$75,0))+1),IF(I36="",1,INDEX($L$6:$L$75,MATCH(I36,$A$6:$A$75,0))+1),IF(J36="",1,INDEX($L$6:$L$75,MATCH(J36,$A$6:$A$75,0))+1))</x:f>
        <x:v>35</x:v>
      </x:c>
      <x:c r="L36" s="10" t="n">
        <x:f>K36+F36-1</x:f>
        <x:v>38</x:v>
      </x:c>
      <x:c r="M36" s="33" t="str">
        <x:f>IF('Start here'!$B$5="","",WORKDAY('Start here'!$B$5-1,K36))</x:f>
      </x:c>
      <x:c r="N36" s="33" t="str">
        <x:f>IF('Start here'!$B$5="","",WORKDAY('Start here'!$B$5-1,L36))</x:f>
      </x:c>
      <x:c r="O36" s="31" t="n">
        <x:v>18</x:v>
      </x:c>
      <x:c r="P36" s="31" t="str">
        <x:v>EXP</x:v>
      </x:c>
      <x:c r="Q36" s="31" t="n">
        <x:v>16</x:v>
      </x:c>
      <x:c r="R36" s="31" t="str">
        <x:v>Not started</x:v>
      </x:c>
      <x:c r="S36" s="32" t="n">
        <x:v>0</x:v>
      </x:c>
      <x:c r="T36" s="10" t="n">
        <x:v>16</x:v>
      </x:c>
      <x:c r="U36" s="31" t="str"/>
    </x:row>
    <x:row r="37" ht="54" customHeight="1">
      <x:c r="A37" s="9" t="str">
        <x:v>E01</x:v>
      </x:c>
      <x:c r="B37" s="9" t="str">
        <x:v>Retrieval</x:v>
      </x:c>
      <x:c r="C37" s="9" t="str">
        <x:v>Build evidence chunks and citation mapping</x:v>
      </x:c>
      <x:c r="D37" s="31" t="str">
        <x:v>AI</x:v>
      </x:c>
      <x:c r="E37" s="31" t="n">
        <x:v>39</x:v>
      </x:c>
      <x:c r="F37" s="31" t="n">
        <x:v>3</x:v>
      </x:c>
      <x:c r="G37" s="31" t="str">
        <x:v>C03</x:v>
      </x:c>
      <x:c r="H37" s="31" t="str">
        <x:v>C06</x:v>
      </x:c>
      <x:c r="I37" s="31" t="str">
        <x:v>C10</x:v>
      </x:c>
      <x:c r="J37" s="31" t="str"/>
      <x:c r="K37" s="9" t="n">
        <x:f>MAX(E37,IF(G37="",1,INDEX($L$6:$L$75,MATCH(G37,$A$6:$A$75,0))+1),IF(H37="",1,INDEX($L$6:$L$75,MATCH(H37,$A$6:$A$75,0))+1),IF(I37="",1,INDEX($L$6:$L$75,MATCH(I37,$A$6:$A$75,0))+1),IF(J37="",1,INDEX($L$6:$L$75,MATCH(J37,$A$6:$A$75,0))+1))</x:f>
        <x:v>39</x:v>
      </x:c>
      <x:c r="L37" s="9" t="n">
        <x:f>K37+F37-1</x:f>
        <x:v>41</x:v>
      </x:c>
      <x:c r="M37" s="34" t="str">
        <x:f>IF('Start here'!$B$5="","",WORKDAY('Start here'!$B$5-1,K37))</x:f>
      </x:c>
      <x:c r="N37" s="34" t="str">
        <x:f>IF('Start here'!$B$5="","",WORKDAY('Start here'!$B$5-1,L37))</x:f>
      </x:c>
      <x:c r="O37" s="31" t="n">
        <x:v>18</x:v>
      </x:c>
      <x:c r="P37" s="31" t="str">
        <x:v>KE</x:v>
      </x:c>
      <x:c r="Q37" s="31" t="n">
        <x:v>5</x:v>
      </x:c>
      <x:c r="R37" s="31" t="str">
        <x:v>Not started</x:v>
      </x:c>
      <x:c r="S37" s="32" t="n">
        <x:v>0</x:v>
      </x:c>
      <x:c r="T37" s="9" t="n">
        <x:v>11</x:v>
      </x:c>
      <x:c r="U37" s="31" t="str"/>
    </x:row>
    <x:row r="38" ht="54" customHeight="1">
      <x:c r="A38" s="10" t="str">
        <x:v>E02</x:v>
      </x:c>
      <x:c r="B38" s="10" t="str">
        <x:v>Retrieval</x:v>
      </x:c>
      <x:c r="C38" s="10" t="str">
        <x:v>Load lexical and vector retrieval index</x:v>
      </x:c>
      <x:c r="D38" s="31" t="str">
        <x:v>AI</x:v>
      </x:c>
      <x:c r="E38" s="31" t="n">
        <x:v>42</x:v>
      </x:c>
      <x:c r="F38" s="31" t="n">
        <x:v>3</x:v>
      </x:c>
      <x:c r="G38" s="31" t="str">
        <x:v>E01</x:v>
      </x:c>
      <x:c r="H38" s="31" t="str">
        <x:v>B04</x:v>
      </x:c>
      <x:c r="I38" s="31" t="str"/>
      <x:c r="J38" s="31" t="str"/>
      <x:c r="K38" s="10" t="n">
        <x:f>MAX(E38,IF(G38="",1,INDEX($L$6:$L$75,MATCH(G38,$A$6:$A$75,0))+1),IF(H38="",1,INDEX($L$6:$L$75,MATCH(H38,$A$6:$A$75,0))+1),IF(I38="",1,INDEX($L$6:$L$75,MATCH(I38,$A$6:$A$75,0))+1),IF(J38="",1,INDEX($L$6:$L$75,MATCH(J38,$A$6:$A$75,0))+1))</x:f>
        <x:v>42</x:v>
      </x:c>
      <x:c r="L38" s="10" t="n">
        <x:f>K38+F38-1</x:f>
        <x:v>44</x:v>
      </x:c>
      <x:c r="M38" s="33" t="str">
        <x:f>IF('Start here'!$B$5="","",WORKDAY('Start here'!$B$5-1,K38))</x:f>
      </x:c>
      <x:c r="N38" s="33" t="str">
        <x:f>IF('Start here'!$B$5="","",WORKDAY('Start here'!$B$5-1,L38))</x:f>
      </x:c>
      <x:c r="O38" s="31" t="n">
        <x:v>18</x:v>
      </x:c>
      <x:c r="P38" s="31" t="str">
        <x:v>SEC</x:v>
      </x:c>
      <x:c r="Q38" s="31" t="n">
        <x:v>5</x:v>
      </x:c>
      <x:c r="R38" s="31" t="str">
        <x:v>Not started</x:v>
      </x:c>
      <x:c r="S38" s="32" t="n">
        <x:v>0</x:v>
      </x:c>
      <x:c r="T38" s="10" t="n">
        <x:v>11</x:v>
      </x:c>
      <x:c r="U38" s="31" t="str"/>
    </x:row>
    <x:row r="39" ht="54" customHeight="1">
      <x:c r="A39" s="9" t="str">
        <x:v>E03</x:v>
      </x:c>
      <x:c r="B39" s="9" t="str">
        <x:v>Retrieval</x:v>
      </x:c>
      <x:c r="C39" s="9" t="str">
        <x:v>Create first validated calculation tools</x:v>
      </x:c>
      <x:c r="D39" s="31" t="str">
        <x:v>PAE</x:v>
      </x:c>
      <x:c r="E39" s="31" t="n">
        <x:v>18</x:v>
      </x:c>
      <x:c r="F39" s="31" t="n">
        <x:v>8</x:v>
      </x:c>
      <x:c r="G39" s="31" t="str">
        <x:v>A07</x:v>
      </x:c>
      <x:c r="H39" s="31" t="str">
        <x:v>B01</x:v>
      </x:c>
      <x:c r="I39" s="31" t="str"/>
      <x:c r="J39" s="31" t="str"/>
      <x:c r="K39" s="9" t="n">
        <x:f>MAX(E39,IF(G39="",1,INDEX($L$6:$L$75,MATCH(G39,$A$6:$A$75,0))+1),IF(H39="",1,INDEX($L$6:$L$75,MATCH(H39,$A$6:$A$75,0))+1),IF(I39="",1,INDEX($L$6:$L$75,MATCH(I39,$A$6:$A$75,0))+1),IF(J39="",1,INDEX($L$6:$L$75,MATCH(J39,$A$6:$A$75,0))+1))</x:f>
        <x:v>18</x:v>
      </x:c>
      <x:c r="L39" s="9" t="n">
        <x:f>K39+F39-1</x:f>
        <x:v>25</x:v>
      </x:c>
      <x:c r="M39" s="34" t="str">
        <x:f>IF('Start here'!$B$5="","",WORKDAY('Start here'!$B$5-1,K39))</x:f>
      </x:c>
      <x:c r="N39" s="34" t="str">
        <x:f>IF('Start here'!$B$5="","",WORKDAY('Start here'!$B$5-1,L39))</x:f>
      </x:c>
      <x:c r="O39" s="31" t="n">
        <x:v>40</x:v>
      </x:c>
      <x:c r="P39" s="31" t="str">
        <x:v>EXP</x:v>
      </x:c>
      <x:c r="Q39" s="31" t="n">
        <x:v>16</x:v>
      </x:c>
      <x:c r="R39" s="31" t="str">
        <x:v>Not started</x:v>
      </x:c>
      <x:c r="S39" s="32" t="n">
        <x:v>0</x:v>
      </x:c>
      <x:c r="T39" s="9" t="n">
        <x:v>11</x:v>
      </x:c>
      <x:c r="U39" s="31" t="str"/>
    </x:row>
    <x:row r="40" ht="54" customHeight="1">
      <x:c r="A40" s="10" t="str">
        <x:v>G1</x:v>
      </x:c>
      <x:c r="B40" s="10" t="str">
        <x:v>Gate</x:v>
      </x:c>
      <x:c r="C40" s="10" t="str">
        <x:v>G1 accept working baseline</x:v>
      </x:c>
      <x:c r="D40" s="31" t="str">
        <x:v>HP</x:v>
      </x:c>
      <x:c r="E40" s="31" t="n">
        <x:v>47</x:v>
      </x:c>
      <x:c r="F40" s="31" t="n">
        <x:v>1</x:v>
      </x:c>
      <x:c r="G40" s="31" t="str">
        <x:v>B07</x:v>
      </x:c>
      <x:c r="H40" s="31" t="str">
        <x:v>D03</x:v>
      </x:c>
      <x:c r="I40" s="31" t="str">
        <x:v>D04</x:v>
      </x:c>
      <x:c r="J40" s="31" t="str">
        <x:v>E02</x:v>
      </x:c>
      <x:c r="K40" s="10" t="n">
        <x:f>MAX(E40,IF(G40="",1,INDEX($L$6:$L$75,MATCH(G40,$A$6:$A$75,0))+1),IF(H40="",1,INDEX($L$6:$L$75,MATCH(H40,$A$6:$A$75,0))+1),IF(I40="",1,INDEX($L$6:$L$75,MATCH(I40,$A$6:$A$75,0))+1),IF(J40="",1,INDEX($L$6:$L$75,MATCH(J40,$A$6:$A$75,0))+1))</x:f>
        <x:v>47</x:v>
      </x:c>
      <x:c r="L40" s="10" t="n">
        <x:f>K40+F40-1</x:f>
        <x:v>47</x:v>
      </x:c>
      <x:c r="M40" s="33" t="str">
        <x:f>IF('Start here'!$B$5="","",WORKDAY('Start here'!$B$5-1,K40))</x:f>
      </x:c>
      <x:c r="N40" s="33" t="str">
        <x:f>IF('Start here'!$B$5="","",WORKDAY('Start here'!$B$5-1,L40))</x:f>
      </x:c>
      <x:c r="O40" s="31" t="n">
        <x:v>4</x:v>
      </x:c>
      <x:c r="P40" s="31" t="str">
        <x:v>TD</x:v>
      </x:c>
      <x:c r="Q40" s="31" t="n">
        <x:v>4</x:v>
      </x:c>
      <x:c r="R40" s="31" t="str">
        <x:v>Not started</x:v>
      </x:c>
      <x:c r="S40" s="32" t="n">
        <x:v>0</x:v>
      </x:c>
      <x:c r="T40" s="10" t="n">
        <x:v>1</x:v>
      </x:c>
      <x:c r="U40" s="31" t="str"/>
    </x:row>
    <x:row r="41" ht="54" customHeight="1">
      <x:c r="A41" s="9" t="str">
        <x:v>E04</x:v>
      </x:c>
      <x:c r="B41" s="9" t="str">
        <x:v>Retrieval</x:v>
      </x:c>
      <x:c r="C41" s="9" t="str">
        <x:v>Benchmark retrieval and tune chunk policy</x:v>
      </x:c>
      <x:c r="D41" s="31" t="str">
        <x:v>AI</x:v>
      </x:c>
      <x:c r="E41" s="31" t="n">
        <x:v>48</x:v>
      </x:c>
      <x:c r="F41" s="31" t="n">
        <x:v>4</x:v>
      </x:c>
      <x:c r="G41" s="31" t="str">
        <x:v>G1</x:v>
      </x:c>
      <x:c r="H41" s="31" t="str">
        <x:v>E03</x:v>
      </x:c>
      <x:c r="I41" s="31" t="str"/>
      <x:c r="J41" s="31" t="str"/>
      <x:c r="K41" s="9" t="n">
        <x:f>MAX(E41,IF(G41="",1,INDEX($L$6:$L$75,MATCH(G41,$A$6:$A$75,0))+1),IF(H41="",1,INDEX($L$6:$L$75,MATCH(H41,$A$6:$A$75,0))+1),IF(I41="",1,INDEX($L$6:$L$75,MATCH(I41,$A$6:$A$75,0))+1),IF(J41="",1,INDEX($L$6:$L$75,MATCH(J41,$A$6:$A$75,0))+1))</x:f>
        <x:v>48</x:v>
      </x:c>
      <x:c r="L41" s="9" t="n">
        <x:f>K41+F41-1</x:f>
        <x:v>51</x:v>
      </x:c>
      <x:c r="M41" s="34" t="str">
        <x:f>IF('Start here'!$B$5="","",WORKDAY('Start here'!$B$5-1,K41))</x:f>
      </x:c>
      <x:c r="N41" s="34" t="str">
        <x:f>IF('Start here'!$B$5="","",WORKDAY('Start here'!$B$5-1,L41))</x:f>
      </x:c>
      <x:c r="O41" s="31" t="n">
        <x:v>24</x:v>
      </x:c>
      <x:c r="P41" s="31" t="str">
        <x:v>PAE</x:v>
      </x:c>
      <x:c r="Q41" s="31" t="n">
        <x:v>6</x:v>
      </x:c>
      <x:c r="R41" s="31" t="str">
        <x:v>Not started</x:v>
      </x:c>
      <x:c r="S41" s="32" t="n">
        <x:v>0</x:v>
      </x:c>
      <x:c r="T41" s="9" t="n">
        <x:v>11</x:v>
      </x:c>
      <x:c r="U41" s="31" t="str"/>
    </x:row>
    <x:row r="42" ht="54" customHeight="1">
      <x:c r="A42" s="10" t="str">
        <x:v>E05</x:v>
      </x:c>
      <x:c r="B42" s="10" t="str">
        <x:v>Retrieval</x:v>
      </x:c>
      <x:c r="C42" s="10" t="str">
        <x:v>Add reranker and evidence packaging</x:v>
      </x:c>
      <x:c r="D42" s="31" t="str">
        <x:v>AI</x:v>
      </x:c>
      <x:c r="E42" s="31" t="n">
        <x:v>52</x:v>
      </x:c>
      <x:c r="F42" s="31" t="n">
        <x:v>3</x:v>
      </x:c>
      <x:c r="G42" s="31" t="str">
        <x:v>E04</x:v>
      </x:c>
      <x:c r="H42" s="31" t="str"/>
      <x:c r="I42" s="31" t="str"/>
      <x:c r="J42" s="31" t="str"/>
      <x:c r="K42" s="10" t="n">
        <x:f>MAX(E42,IF(G42="",1,INDEX($L$6:$L$75,MATCH(G42,$A$6:$A$75,0))+1),IF(H42="",1,INDEX($L$6:$L$75,MATCH(H42,$A$6:$A$75,0))+1),IF(I42="",1,INDEX($L$6:$L$75,MATCH(I42,$A$6:$A$75,0))+1),IF(J42="",1,INDEX($L$6:$L$75,MATCH(J42,$A$6:$A$75,0))+1))</x:f>
        <x:v>52</x:v>
      </x:c>
      <x:c r="L42" s="10" t="n">
        <x:f>K42+F42-1</x:f>
        <x:v>54</x:v>
      </x:c>
      <x:c r="M42" s="33" t="str">
        <x:f>IF('Start here'!$B$5="","",WORKDAY('Start here'!$B$5-1,K42))</x:f>
      </x:c>
      <x:c r="N42" s="33" t="str">
        <x:f>IF('Start here'!$B$5="","",WORKDAY('Start here'!$B$5-1,L42))</x:f>
      </x:c>
      <x:c r="O42" s="31" t="n">
        <x:v>16</x:v>
      </x:c>
      <x:c r="P42" s="31" t="str">
        <x:v>SEC</x:v>
      </x:c>
      <x:c r="Q42" s="31" t="n">
        <x:v>4</x:v>
      </x:c>
      <x:c r="R42" s="31" t="str">
        <x:v>Not started</x:v>
      </x:c>
      <x:c r="S42" s="32" t="n">
        <x:v>0</x:v>
      </x:c>
      <x:c r="T42" s="10" t="n">
        <x:v>11</x:v>
      </x:c>
      <x:c r="U42" s="31" t="str"/>
    </x:row>
    <x:row r="43" ht="54" customHeight="1">
      <x:c r="A43" s="9" t="str">
        <x:v>E06</x:v>
      </x:c>
      <x:c r="B43" s="9" t="str">
        <x:v>Retrieval</x:v>
      </x:c>
      <x:c r="C43" s="9" t="str">
        <x:v>Test revocation and index versioning</x:v>
      </x:c>
      <x:c r="D43" s="31" t="str">
        <x:v>OPS</x:v>
      </x:c>
      <x:c r="E43" s="31" t="n">
        <x:v>55</x:v>
      </x:c>
      <x:c r="F43" s="31" t="n">
        <x:v>3</x:v>
      </x:c>
      <x:c r="G43" s="31" t="str">
        <x:v>E05</x:v>
      </x:c>
      <x:c r="H43" s="31" t="str"/>
      <x:c r="I43" s="31" t="str"/>
      <x:c r="J43" s="31" t="str"/>
      <x:c r="K43" s="9" t="n">
        <x:f>MAX(E43,IF(G43="",1,INDEX($L$6:$L$75,MATCH(G43,$A$6:$A$75,0))+1),IF(H43="",1,INDEX($L$6:$L$75,MATCH(H43,$A$6:$A$75,0))+1),IF(I43="",1,INDEX($L$6:$L$75,MATCH(I43,$A$6:$A$75,0))+1),IF(J43="",1,INDEX($L$6:$L$75,MATCH(J43,$A$6:$A$75,0))+1))</x:f>
        <x:v>55</x:v>
      </x:c>
      <x:c r="L43" s="9" t="n">
        <x:f>K43+F43-1</x:f>
        <x:v>57</x:v>
      </x:c>
      <x:c r="M43" s="34" t="str">
        <x:f>IF('Start here'!$B$5="","",WORKDAY('Start here'!$B$5-1,K43))</x:f>
      </x:c>
      <x:c r="N43" s="34" t="str">
        <x:f>IF('Start here'!$B$5="","",WORKDAY('Start here'!$B$5-1,L43))</x:f>
      </x:c>
      <x:c r="O43" s="31" t="n">
        <x:v>16</x:v>
      </x:c>
      <x:c r="P43" s="31" t="str">
        <x:v>SEC</x:v>
      </x:c>
      <x:c r="Q43" s="31" t="n">
        <x:v>5</x:v>
      </x:c>
      <x:c r="R43" s="31" t="str">
        <x:v>Not started</x:v>
      </x:c>
      <x:c r="S43" s="32" t="n">
        <x:v>0</x:v>
      </x:c>
      <x:c r="T43" s="9" t="n">
        <x:v>11</x:v>
      </x:c>
      <x:c r="U43" s="31" t="str"/>
    </x:row>
    <x:row r="44" ht="54" customHeight="1">
      <x:c r="A44" s="10" t="str">
        <x:v>F01</x:v>
      </x:c>
      <x:c r="B44" s="10" t="str">
        <x:v>Baseline</x:v>
      </x:c>
      <x:c r="C44" s="10" t="str">
        <x:v>Compare text OCR and native vision</x:v>
      </x:c>
      <x:c r="D44" s="31" t="str">
        <x:v>TD</x:v>
      </x:c>
      <x:c r="E44" s="31" t="n">
        <x:v>48</x:v>
      </x:c>
      <x:c r="F44" s="31" t="n">
        <x:v>7</x:v>
      </x:c>
      <x:c r="G44" s="31" t="str">
        <x:v>G1</x:v>
      </x:c>
      <x:c r="H44" s="31" t="str">
        <x:v>E03</x:v>
      </x:c>
      <x:c r="I44" s="31" t="str"/>
      <x:c r="J44" s="31" t="str"/>
      <x:c r="K44" s="10" t="n">
        <x:f>MAX(E44,IF(G44="",1,INDEX($L$6:$L$75,MATCH(G44,$A$6:$A$75,0))+1),IF(H44="",1,INDEX($L$6:$L$75,MATCH(H44,$A$6:$A$75,0))+1),IF(I44="",1,INDEX($L$6:$L$75,MATCH(I44,$A$6:$A$75,0))+1),IF(J44="",1,INDEX($L$6:$L$75,MATCH(J44,$A$6:$A$75,0))+1))</x:f>
        <x:v>48</x:v>
      </x:c>
      <x:c r="L44" s="10" t="n">
        <x:f>K44+F44-1</x:f>
        <x:v>54</x:v>
      </x:c>
      <x:c r="M44" s="33" t="str">
        <x:f>IF('Start here'!$B$5="","",WORKDAY('Start here'!$B$5-1,K44))</x:f>
      </x:c>
      <x:c r="N44" s="33" t="str">
        <x:f>IF('Start here'!$B$5="","",WORKDAY('Start here'!$B$5-1,L44))</x:f>
      </x:c>
      <x:c r="O44" s="31" t="n">
        <x:v>24</x:v>
      </x:c>
      <x:c r="P44" s="31" t="str">
        <x:v>EXP</x:v>
      </x:c>
      <x:c r="Q44" s="31" t="n">
        <x:v>30</x:v>
      </x:c>
      <x:c r="R44" s="31" t="str">
        <x:v>Not started</x:v>
      </x:c>
      <x:c r="S44" s="32" t="n">
        <x:v>0</x:v>
      </x:c>
      <x:c r="T44" s="10" t="n">
        <x:v>16</x:v>
      </x:c>
      <x:c r="U44" s="31" t="str"/>
    </x:row>
    <x:row r="45" ht="54" customHeight="1">
      <x:c r="A45" s="9" t="str">
        <x:v>F02</x:v>
      </x:c>
      <x:c r="B45" s="9" t="str">
        <x:v>Baseline</x:v>
      </x:c>
      <x:c r="C45" s="9" t="str">
        <x:v>Decide model and visual scope</x:v>
      </x:c>
      <x:c r="D45" s="31" t="str">
        <x:v>HP</x:v>
      </x:c>
      <x:c r="E45" s="31" t="n">
        <x:v>58</x:v>
      </x:c>
      <x:c r="F45" s="31" t="n">
        <x:v>2</x:v>
      </x:c>
      <x:c r="G45" s="31" t="str">
        <x:v>F01</x:v>
      </x:c>
      <x:c r="H45" s="31" t="str">
        <x:v>E05</x:v>
      </x:c>
      <x:c r="I45" s="31" t="str">
        <x:v>E06</x:v>
      </x:c>
      <x:c r="J45" s="31" t="str"/>
      <x:c r="K45" s="9" t="n">
        <x:f>MAX(E45,IF(G45="",1,INDEX($L$6:$L$75,MATCH(G45,$A$6:$A$75,0))+1),IF(H45="",1,INDEX($L$6:$L$75,MATCH(H45,$A$6:$A$75,0))+1),IF(I45="",1,INDEX($L$6:$L$75,MATCH(I45,$A$6:$A$75,0))+1),IF(J45="",1,INDEX($L$6:$L$75,MATCH(J45,$A$6:$A$75,0))+1))</x:f>
        <x:v>58</x:v>
      </x:c>
      <x:c r="L45" s="9" t="n">
        <x:f>K45+F45-1</x:f>
        <x:v>59</x:v>
      </x:c>
      <x:c r="M45" s="34" t="str">
        <x:f>IF('Start here'!$B$5="","",WORKDAY('Start here'!$B$5-1,K45))</x:f>
      </x:c>
      <x:c r="N45" s="34" t="str">
        <x:f>IF('Start here'!$B$5="","",WORKDAY('Start here'!$B$5-1,L45))</x:f>
      </x:c>
      <x:c r="O45" s="31" t="n">
        <x:v>10</x:v>
      </x:c>
      <x:c r="P45" s="31" t="str">
        <x:v>TD</x:v>
      </x:c>
      <x:c r="Q45" s="31" t="n">
        <x:v>4</x:v>
      </x:c>
      <x:c r="R45" s="31" t="str">
        <x:v>Not started</x:v>
      </x:c>
      <x:c r="S45" s="32" t="n">
        <x:v>0</x:v>
      </x:c>
      <x:c r="T45" s="9" t="n">
        <x:v>16</x:v>
      </x:c>
      <x:c r="U45" s="31" t="str"/>
    </x:row>
    <x:row r="46" ht="54" customHeight="1">
      <x:c r="A46" s="10" t="str">
        <x:v>G2</x:v>
      </x:c>
      <x:c r="B46" s="10" t="str">
        <x:v>Gate</x:v>
      </x:c>
      <x:c r="C46" s="10" t="str">
        <x:v>G2 authorize adaptation tranche</x:v>
      </x:c>
      <x:c r="D46" s="31" t="str">
        <x:v>MD</x:v>
      </x:c>
      <x:c r="E46" s="31" t="n">
        <x:v>60</x:v>
      </x:c>
      <x:c r="F46" s="31" t="n">
        <x:v>1</x:v>
      </x:c>
      <x:c r="G46" s="31" t="str">
        <x:v>F02</x:v>
      </x:c>
      <x:c r="H46" s="31" t="str">
        <x:v>E06</x:v>
      </x:c>
      <x:c r="I46" s="31" t="str"/>
      <x:c r="J46" s="31" t="str"/>
      <x:c r="K46" s="10" t="n">
        <x:f>MAX(E46,IF(G46="",1,INDEX($L$6:$L$75,MATCH(G46,$A$6:$A$75,0))+1),IF(H46="",1,INDEX($L$6:$L$75,MATCH(H46,$A$6:$A$75,0))+1),IF(I46="",1,INDEX($L$6:$L$75,MATCH(I46,$A$6:$A$75,0))+1),IF(J46="",1,INDEX($L$6:$L$75,MATCH(J46,$A$6:$A$75,0))+1))</x:f>
        <x:v>60</x:v>
      </x:c>
      <x:c r="L46" s="10" t="n">
        <x:f>K46+F46-1</x:f>
        <x:v>60</x:v>
      </x:c>
      <x:c r="M46" s="33" t="str">
        <x:f>IF('Start here'!$B$5="","",WORKDAY('Start here'!$B$5-1,K46))</x:f>
      </x:c>
      <x:c r="N46" s="33" t="str">
        <x:f>IF('Start here'!$B$5="","",WORKDAY('Start here'!$B$5-1,L46))</x:f>
      </x:c>
      <x:c r="O46" s="31" t="n">
        <x:v>4</x:v>
      </x:c>
      <x:c r="P46" s="31" t="str">
        <x:v>HP</x:v>
      </x:c>
      <x:c r="Q46" s="31" t="n">
        <x:v>3</x:v>
      </x:c>
      <x:c r="R46" s="31" t="str">
        <x:v>Not started</x:v>
      </x:c>
      <x:c r="S46" s="32" t="n">
        <x:v>0</x:v>
      </x:c>
      <x:c r="T46" s="10" t="n">
        <x:v>1</x:v>
      </x:c>
      <x:c r="U46" s="31" t="str"/>
    </x:row>
    <x:row r="47" ht="54" customHeight="1">
      <x:c r="A47" s="9" t="str">
        <x:v>D05</x:v>
      </x:c>
      <x:c r="B47" s="9" t="str">
        <x:v>Curation</x:v>
      </x:c>
      <x:c r="C47" s="9" t="str">
        <x:v>Acquire and admit production source batches</x:v>
      </x:c>
      <x:c r="D47" s="31" t="str">
        <x:v>KE</x:v>
      </x:c>
      <x:c r="E47" s="31" t="n">
        <x:v>48</x:v>
      </x:c>
      <x:c r="F47" s="31" t="n">
        <x:v>25</x:v>
      </x:c>
      <x:c r="G47" s="31" t="str">
        <x:v>G1</x:v>
      </x:c>
      <x:c r="H47" s="31" t="str"/>
      <x:c r="I47" s="31" t="str"/>
      <x:c r="J47" s="31" t="str"/>
      <x:c r="K47" s="9" t="n">
        <x:f>MAX(E47,IF(G47="",1,INDEX($L$6:$L$75,MATCH(G47,$A$6:$A$75,0))+1),IF(H47="",1,INDEX($L$6:$L$75,MATCH(H47,$A$6:$A$75,0))+1),IF(I47="",1,INDEX($L$6:$L$75,MATCH(I47,$A$6:$A$75,0))+1),IF(J47="",1,INDEX($L$6:$L$75,MATCH(J47,$A$6:$A$75,0))+1))</x:f>
        <x:v>48</x:v>
      </x:c>
      <x:c r="L47" s="9" t="n">
        <x:f>K47+F47-1</x:f>
        <x:v>72</x:v>
      </x:c>
      <x:c r="M47" s="34" t="str">
        <x:f>IF('Start here'!$B$5="","",WORKDAY('Start here'!$B$5-1,K47))</x:f>
      </x:c>
      <x:c r="N47" s="34" t="str">
        <x:f>IF('Start here'!$B$5="","",WORKDAY('Start here'!$B$5-1,L47))</x:f>
      </x:c>
      <x:c r="O47" s="31" t="n">
        <x:v>80</x:v>
      </x:c>
      <x:c r="P47" s="31" t="str">
        <x:v>MD</x:v>
      </x:c>
      <x:c r="Q47" s="31" t="n">
        <x:v>12</x:v>
      </x:c>
      <x:c r="R47" s="31" t="str">
        <x:v>Not started</x:v>
      </x:c>
      <x:c r="S47" s="32" t="n">
        <x:v>0</x:v>
      </x:c>
      <x:c r="T47" s="9" t="n">
        <x:v>3</x:v>
      </x:c>
      <x:c r="U47" s="31" t="str"/>
    </x:row>
    <x:row r="48" ht="54" customHeight="1">
      <x:c r="A48" s="10" t="str">
        <x:v>D06</x:v>
      </x:c>
      <x:c r="B48" s="10" t="str">
        <x:v>Curation</x:v>
      </x:c>
      <x:c r="C48" s="10" t="str">
        <x:v>Expand and reconcile 300 case families</x:v>
      </x:c>
      <x:c r="D48" s="31" t="str">
        <x:v>KE</x:v>
      </x:c>
      <x:c r="E48" s="31" t="n">
        <x:v>73</x:v>
      </x:c>
      <x:c r="F48" s="31" t="n">
        <x:v>20</x:v>
      </x:c>
      <x:c r="G48" s="31" t="str">
        <x:v>G2</x:v>
      </x:c>
      <x:c r="H48" s="31" t="str">
        <x:v>D05</x:v>
      </x:c>
      <x:c r="I48" s="31" t="str"/>
      <x:c r="J48" s="31" t="str"/>
      <x:c r="K48" s="10" t="n">
        <x:f>MAX(E48,IF(G48="",1,INDEX($L$6:$L$75,MATCH(G48,$A$6:$A$75,0))+1),IF(H48="",1,INDEX($L$6:$L$75,MATCH(H48,$A$6:$A$75,0))+1),IF(I48="",1,INDEX($L$6:$L$75,MATCH(I48,$A$6:$A$75,0))+1),IF(J48="",1,INDEX($L$6:$L$75,MATCH(J48,$A$6:$A$75,0))+1))</x:f>
        <x:v>73</x:v>
      </x:c>
      <x:c r="L48" s="10" t="n">
        <x:f>K48+F48-1</x:f>
        <x:v>92</x:v>
      </x:c>
      <x:c r="M48" s="33" t="str">
        <x:f>IF('Start here'!$B$5="","",WORKDAY('Start here'!$B$5-1,K48))</x:f>
      </x:c>
      <x:c r="N48" s="33" t="str">
        <x:f>IF('Start here'!$B$5="","",WORKDAY('Start here'!$B$5-1,L48))</x:f>
      </x:c>
      <x:c r="O48" s="31" t="n">
        <x:v>90</x:v>
      </x:c>
      <x:c r="P48" s="31" t="str">
        <x:v>EXP</x:v>
      </x:c>
      <x:c r="Q48" s="31" t="n">
        <x:v>60</x:v>
      </x:c>
      <x:c r="R48" s="31" t="str">
        <x:v>Not started</x:v>
      </x:c>
      <x:c r="S48" s="32" t="n">
        <x:v>0</x:v>
      </x:c>
      <x:c r="T48" s="10" t="n">
        <x:v>9</x:v>
      </x:c>
      <x:c r="U48" s="31" t="str"/>
    </x:row>
    <x:row r="49" ht="54" customHeight="1">
      <x:c r="A49" s="9" t="str">
        <x:v>D07</x:v>
      </x:c>
      <x:c r="B49" s="9" t="str">
        <x:v>Curation</x:v>
      </x:c>
      <x:c r="C49" s="9" t="str">
        <x:v>Author remaining 1600 examples</x:v>
      </x:c>
      <x:c r="D49" s="31" t="str">
        <x:v>KE</x:v>
      </x:c>
      <x:c r="E49" s="31" t="n">
        <x:v>93</x:v>
      </x:c>
      <x:c r="F49" s="31" t="n">
        <x:v>12</x:v>
      </x:c>
      <x:c r="G49" s="31" t="str">
        <x:v>D06</x:v>
      </x:c>
      <x:c r="H49" s="31" t="str"/>
      <x:c r="I49" s="31" t="str"/>
      <x:c r="J49" s="31" t="str"/>
      <x:c r="K49" s="9" t="n">
        <x:f>MAX(E49,IF(G49="",1,INDEX($L$6:$L$75,MATCH(G49,$A$6:$A$75,0))+1),IF(H49="",1,INDEX($L$6:$L$75,MATCH(H49,$A$6:$A$75,0))+1),IF(I49="",1,INDEX($L$6:$L$75,MATCH(I49,$A$6:$A$75,0))+1),IF(J49="",1,INDEX($L$6:$L$75,MATCH(J49,$A$6:$A$75,0))+1))</x:f>
        <x:v>93</x:v>
      </x:c>
      <x:c r="L49" s="9" t="n">
        <x:f>K49+F49-1</x:f>
        <x:v>104</x:v>
      </x:c>
      <x:c r="M49" s="34" t="str">
        <x:f>IF('Start here'!$B$5="","",WORKDAY('Start here'!$B$5-1,K49))</x:f>
      </x:c>
      <x:c r="N49" s="34" t="str">
        <x:f>IF('Start here'!$B$5="","",WORKDAY('Start here'!$B$5-1,L49))</x:f>
      </x:c>
      <x:c r="O49" s="31" t="n">
        <x:v>90</x:v>
      </x:c>
      <x:c r="P49" s="31" t="str">
        <x:v>EXP</x:v>
      </x:c>
      <x:c r="Q49" s="31" t="n">
        <x:v>160</x:v>
      </x:c>
      <x:c r="R49" s="31" t="str">
        <x:v>Not started</x:v>
      </x:c>
      <x:c r="S49" s="32" t="n">
        <x:v>0</x:v>
      </x:c>
      <x:c r="T49" s="9" t="n">
        <x:v>10</x:v>
      </x:c>
      <x:c r="U49" s="31" t="str"/>
    </x:row>
    <x:row r="50" ht="54" customHeight="1">
      <x:c r="A50" s="10" t="str">
        <x:v>D08</x:v>
      </x:c>
      <x:c r="B50" s="10" t="str">
        <x:v>Curation</x:v>
      </x:c>
      <x:c r="C50" s="10" t="str">
        <x:v>Build full development and locked suites</x:v>
      </x:c>
      <x:c r="D50" s="31" t="str">
        <x:v>TD</x:v>
      </x:c>
      <x:c r="E50" s="31" t="n">
        <x:v>93</x:v>
      </x:c>
      <x:c r="F50" s="31" t="n">
        <x:v>10</x:v>
      </x:c>
      <x:c r="G50" s="31" t="str">
        <x:v>D06</x:v>
      </x:c>
      <x:c r="H50" s="31" t="str"/>
      <x:c r="I50" s="31" t="str"/>
      <x:c r="J50" s="31" t="str"/>
      <x:c r="K50" s="10" t="n">
        <x:f>MAX(E50,IF(G50="",1,INDEX($L$6:$L$75,MATCH(G50,$A$6:$A$75,0))+1),IF(H50="",1,INDEX($L$6:$L$75,MATCH(H50,$A$6:$A$75,0))+1),IF(I50="",1,INDEX($L$6:$L$75,MATCH(I50,$A$6:$A$75,0))+1),IF(J50="",1,INDEX($L$6:$L$75,MATCH(J50,$A$6:$A$75,0))+1))</x:f>
        <x:v>93</x:v>
      </x:c>
      <x:c r="L50" s="10" t="n">
        <x:f>K50+F50-1</x:f>
        <x:v>102</x:v>
      </x:c>
      <x:c r="M50" s="33" t="str">
        <x:f>IF('Start here'!$B$5="","",WORKDAY('Start here'!$B$5-1,K50))</x:f>
      </x:c>
      <x:c r="N50" s="33" t="str">
        <x:f>IF('Start here'!$B$5="","",WORKDAY('Start here'!$B$5-1,L50))</x:f>
      </x:c>
      <x:c r="O50" s="31" t="n">
        <x:v>40</x:v>
      </x:c>
      <x:c r="P50" s="31" t="str">
        <x:v>EXP</x:v>
      </x:c>
      <x:c r="Q50" s="31" t="n">
        <x:v>80</x:v>
      </x:c>
      <x:c r="R50" s="31" t="str">
        <x:v>Not started</x:v>
      </x:c>
      <x:c r="S50" s="32" t="n">
        <x:v>0</x:v>
      </x:c>
      <x:c r="T50" s="10" t="n">
        <x:v>16</x:v>
      </x:c>
      <x:c r="U50" s="31" t="str"/>
    </x:row>
    <x:row r="51" ht="54" customHeight="1">
      <x:c r="A51" s="9" t="str">
        <x:v>D09</x:v>
      </x:c>
      <x:c r="B51" s="9" t="str">
        <x:v>Curation</x:v>
      </x:c>
      <x:c r="C51" s="9" t="str">
        <x:v>Audit data rights lineage and contamination</x:v>
      </x:c>
      <x:c r="D51" s="31" t="str">
        <x:v>KE</x:v>
      </x:c>
      <x:c r="E51" s="31" t="n">
        <x:v>105</x:v>
      </x:c>
      <x:c r="F51" s="31" t="n">
        <x:v>3</x:v>
      </x:c>
      <x:c r="G51" s="31" t="str">
        <x:v>D07</x:v>
      </x:c>
      <x:c r="H51" s="31" t="str">
        <x:v>D08</x:v>
      </x:c>
      <x:c r="I51" s="31" t="str"/>
      <x:c r="J51" s="31" t="str"/>
      <x:c r="K51" s="9" t="n">
        <x:f>MAX(E51,IF(G51="",1,INDEX($L$6:$L$75,MATCH(G51,$A$6:$A$75,0))+1),IF(H51="",1,INDEX($L$6:$L$75,MATCH(H51,$A$6:$A$75,0))+1),IF(I51="",1,INDEX($L$6:$L$75,MATCH(I51,$A$6:$A$75,0))+1),IF(J51="",1,INDEX($L$6:$L$75,MATCH(J51,$A$6:$A$75,0))+1))</x:f>
        <x:v>105</x:v>
      </x:c>
      <x:c r="L51" s="9" t="n">
        <x:f>K51+F51-1</x:f>
        <x:v>107</x:v>
      </x:c>
      <x:c r="M51" s="34" t="str">
        <x:f>IF('Start here'!$B$5="","",WORKDAY('Start here'!$B$5-1,K51))</x:f>
      </x:c>
      <x:c r="N51" s="34" t="str">
        <x:f>IF('Start here'!$B$5="","",WORKDAY('Start here'!$B$5-1,L51))</x:f>
      </x:c>
      <x:c r="O51" s="31" t="n">
        <x:v>22</x:v>
      </x:c>
      <x:c r="P51" s="31" t="str">
        <x:v>SEC</x:v>
      </x:c>
      <x:c r="Q51" s="31" t="n">
        <x:v>6</x:v>
      </x:c>
      <x:c r="R51" s="31" t="str">
        <x:v>Not started</x:v>
      </x:c>
      <x:c r="S51" s="32" t="n">
        <x:v>0</x:v>
      </x:c>
      <x:c r="T51" s="9" t="n">
        <x:v>9</x:v>
      </x:c>
      <x:c r="U51" s="31" t="str"/>
    </x:row>
    <x:row r="52" ht="54" customHeight="1">
      <x:c r="A52" s="10" t="str">
        <x:v>D10</x:v>
      </x:c>
      <x:c r="B52" s="10" t="str">
        <x:v>Curation</x:v>
      </x:c>
      <x:c r="C52" s="10" t="str">
        <x:v>Package portable SFT datasets</x:v>
      </x:c>
      <x:c r="D52" s="31" t="str">
        <x:v>AI</x:v>
      </x:c>
      <x:c r="E52" s="31" t="n">
        <x:v>108</x:v>
      </x:c>
      <x:c r="F52" s="31" t="n">
        <x:v>2</x:v>
      </x:c>
      <x:c r="G52" s="31" t="str">
        <x:v>D09</x:v>
      </x:c>
      <x:c r="H52" s="31" t="str"/>
      <x:c r="I52" s="31" t="str"/>
      <x:c r="J52" s="31" t="str"/>
      <x:c r="K52" s="10" t="n">
        <x:f>MAX(E52,IF(G52="",1,INDEX($L$6:$L$75,MATCH(G52,$A$6:$A$75,0))+1),IF(H52="",1,INDEX($L$6:$L$75,MATCH(H52,$A$6:$A$75,0))+1),IF(I52="",1,INDEX($L$6:$L$75,MATCH(I52,$A$6:$A$75,0))+1),IF(J52="",1,INDEX($L$6:$L$75,MATCH(J52,$A$6:$A$75,0))+1))</x:f>
        <x:v>108</x:v>
      </x:c>
      <x:c r="L52" s="10" t="n">
        <x:f>K52+F52-1</x:f>
        <x:v>109</x:v>
      </x:c>
      <x:c r="M52" s="33" t="str">
        <x:f>IF('Start here'!$B$5="","",WORKDAY('Start here'!$B$5-1,K52))</x:f>
      </x:c>
      <x:c r="N52" s="33" t="str">
        <x:f>IF('Start here'!$B$5="","",WORKDAY('Start here'!$B$5-1,L52))</x:f>
      </x:c>
      <x:c r="O52" s="31" t="n">
        <x:v>14</x:v>
      </x:c>
      <x:c r="P52" s="31" t="str">
        <x:v>KE</x:v>
      </x:c>
      <x:c r="Q52" s="31" t="n">
        <x:v>4</x:v>
      </x:c>
      <x:c r="R52" s="31" t="str">
        <x:v>Not started</x:v>
      </x:c>
      <x:c r="S52" s="32" t="n">
        <x:v>0</x:v>
      </x:c>
      <x:c r="T52" s="10" t="n">
        <x:v>10</x:v>
      </x:c>
      <x:c r="U52" s="31" t="str"/>
    </x:row>
    <x:row r="53" ht="54" customHeight="1">
      <x:c r="A53" s="9" t="str">
        <x:v>F03</x:v>
      </x:c>
      <x:c r="B53" s="9" t="str">
        <x:v>Training</x:v>
      </x:c>
      <x:c r="C53" s="9" t="str">
        <x:v>Implement processor and token preflight</x:v>
      </x:c>
      <x:c r="D53" s="31" t="str">
        <x:v>AI</x:v>
      </x:c>
      <x:c r="E53" s="31" t="n">
        <x:v>61</x:v>
      </x:c>
      <x:c r="F53" s="31" t="n">
        <x:v>5</x:v>
      </x:c>
      <x:c r="G53" s="31" t="str">
        <x:v>G2</x:v>
      </x:c>
      <x:c r="H53" s="31" t="str">
        <x:v>B07</x:v>
      </x:c>
      <x:c r="I53" s="31" t="str"/>
      <x:c r="J53" s="31" t="str"/>
      <x:c r="K53" s="9" t="n">
        <x:f>MAX(E53,IF(G53="",1,INDEX($L$6:$L$75,MATCH(G53,$A$6:$A$75,0))+1),IF(H53="",1,INDEX($L$6:$L$75,MATCH(H53,$A$6:$A$75,0))+1),IF(I53="",1,INDEX($L$6:$L$75,MATCH(I53,$A$6:$A$75,0))+1),IF(J53="",1,INDEX($L$6:$L$75,MATCH(J53,$A$6:$A$75,0))+1))</x:f>
        <x:v>61</x:v>
      </x:c>
      <x:c r="L53" s="9" t="n">
        <x:f>K53+F53-1</x:f>
        <x:v>65</x:v>
      </x:c>
      <x:c r="M53" s="34" t="str">
        <x:f>IF('Start here'!$B$5="","",WORKDAY('Start here'!$B$5-1,K53))</x:f>
      </x:c>
      <x:c r="N53" s="34" t="str">
        <x:f>IF('Start here'!$B$5="","",WORKDAY('Start here'!$B$5-1,L53))</x:f>
      </x:c>
      <x:c r="O53" s="31" t="n">
        <x:v>26</x:v>
      </x:c>
      <x:c r="P53" s="31" t="str">
        <x:v>OPS</x:v>
      </x:c>
      <x:c r="Q53" s="31" t="n">
        <x:v>8</x:v>
      </x:c>
      <x:c r="R53" s="31" t="str">
        <x:v>Not started</x:v>
      </x:c>
      <x:c r="S53" s="32" t="n">
        <x:v>0</x:v>
      </x:c>
      <x:c r="T53" s="9" t="n">
        <x:v>13</x:v>
      </x:c>
      <x:c r="U53" s="31" t="str"/>
    </x:row>
    <x:row r="54" ht="54" customHeight="1">
      <x:c r="A54" s="10" t="str">
        <x:v>F04</x:v>
      </x:c>
      <x:c r="B54" s="10" t="str">
        <x:v>Training</x:v>
      </x:c>
      <x:c r="C54" s="10" t="str">
        <x:v>Set training configuration and tracking</x:v>
      </x:c>
      <x:c r="D54" s="31" t="str">
        <x:v>HP</x:v>
      </x:c>
      <x:c r="E54" s="31" t="n">
        <x:v>66</x:v>
      </x:c>
      <x:c r="F54" s="31" t="n">
        <x:v>3</x:v>
      </x:c>
      <x:c r="G54" s="31" t="str">
        <x:v>F03</x:v>
      </x:c>
      <x:c r="H54" s="31" t="str"/>
      <x:c r="I54" s="31" t="str"/>
      <x:c r="J54" s="31" t="str"/>
      <x:c r="K54" s="10" t="n">
        <x:f>MAX(E54,IF(G54="",1,INDEX($L$6:$L$75,MATCH(G54,$A$6:$A$75,0))+1),IF(H54="",1,INDEX($L$6:$L$75,MATCH(H54,$A$6:$A$75,0))+1),IF(I54="",1,INDEX($L$6:$L$75,MATCH(I54,$A$6:$A$75,0))+1),IF(J54="",1,INDEX($L$6:$L$75,MATCH(J54,$A$6:$A$75,0))+1))</x:f>
        <x:v>66</x:v>
      </x:c>
      <x:c r="L54" s="10" t="n">
        <x:f>K54+F54-1</x:f>
        <x:v>68</x:v>
      </x:c>
      <x:c r="M54" s="33" t="str">
        <x:f>IF('Start here'!$B$5="","",WORKDAY('Start here'!$B$5-1,K54))</x:f>
      </x:c>
      <x:c r="N54" s="33" t="str">
        <x:f>IF('Start here'!$B$5="","",WORKDAY('Start here'!$B$5-1,L54))</x:f>
      </x:c>
      <x:c r="O54" s="31" t="n">
        <x:v>14</x:v>
      </x:c>
      <x:c r="P54" s="31" t="str">
        <x:v>AI</x:v>
      </x:c>
      <x:c r="Q54" s="31" t="n">
        <x:v>4</x:v>
      </x:c>
      <x:c r="R54" s="31" t="str">
        <x:v>Not started</x:v>
      </x:c>
      <x:c r="S54" s="32" t="n">
        <x:v>0</x:v>
      </x:c>
      <x:c r="T54" s="10" t="n">
        <x:v>14</x:v>
      </x:c>
      <x:c r="U54" s="31" t="str"/>
    </x:row>
    <x:row r="55" ht="54" customHeight="1">
      <x:c r="A55" s="9" t="str">
        <x:v>F05</x:v>
      </x:c>
      <x:c r="B55" s="9" t="str">
        <x:v>Training</x:v>
      </x:c>
      <x:c r="C55" s="9" t="str">
        <x:v>Run pilot adapter learning curve</x:v>
      </x:c>
      <x:c r="D55" s="31" t="str">
        <x:v>AI</x:v>
      </x:c>
      <x:c r="E55" s="31" t="n">
        <x:v>69</x:v>
      </x:c>
      <x:c r="F55" s="31" t="n">
        <x:v>6</x:v>
      </x:c>
      <x:c r="G55" s="31" t="str">
        <x:v>F04</x:v>
      </x:c>
      <x:c r="H55" s="31" t="str">
        <x:v>D03</x:v>
      </x:c>
      <x:c r="I55" s="31" t="str"/>
      <x:c r="J55" s="31" t="str"/>
      <x:c r="K55" s="9" t="n">
        <x:f>MAX(E55,IF(G55="",1,INDEX($L$6:$L$75,MATCH(G55,$A$6:$A$75,0))+1),IF(H55="",1,INDEX($L$6:$L$75,MATCH(H55,$A$6:$A$75,0))+1),IF(I55="",1,INDEX($L$6:$L$75,MATCH(I55,$A$6:$A$75,0))+1),IF(J55="",1,INDEX($L$6:$L$75,MATCH(J55,$A$6:$A$75,0))+1))</x:f>
        <x:v>69</x:v>
      </x:c>
      <x:c r="L55" s="9" t="n">
        <x:f>K55+F55-1</x:f>
        <x:v>74</x:v>
      </x:c>
      <x:c r="M55" s="34" t="str">
        <x:f>IF('Start here'!$B$5="","",WORKDAY('Start here'!$B$5-1,K55))</x:f>
      </x:c>
      <x:c r="N55" s="34" t="str">
        <x:f>IF('Start here'!$B$5="","",WORKDAY('Start here'!$B$5-1,L55))</x:f>
      </x:c>
      <x:c r="O55" s="31" t="n">
        <x:v>30</x:v>
      </x:c>
      <x:c r="P55" s="31" t="str">
        <x:v>TD</x:v>
      </x:c>
      <x:c r="Q55" s="31" t="n">
        <x:v>8</x:v>
      </x:c>
      <x:c r="R55" s="31" t="str">
        <x:v>Not started</x:v>
      </x:c>
      <x:c r="S55" s="32" t="n">
        <x:v>0</x:v>
      </x:c>
      <x:c r="T55" s="9" t="n">
        <x:v>14</x:v>
      </x:c>
      <x:c r="U55" s="31" t="str"/>
    </x:row>
    <x:row r="56" ht="54" customHeight="1">
      <x:c r="A56" s="10" t="str">
        <x:v>F06</x:v>
      </x:c>
      <x:c r="B56" s="10" t="str">
        <x:v>Training</x:v>
      </x:c>
      <x:c r="C56" s="10" t="str">
        <x:v>Tune bounded development configurations</x:v>
      </x:c>
      <x:c r="D56" s="31" t="str">
        <x:v>AI</x:v>
      </x:c>
      <x:c r="E56" s="31" t="n">
        <x:v>85</x:v>
      </x:c>
      <x:c r="F56" s="31" t="n">
        <x:v>12</x:v>
      </x:c>
      <x:c r="G56" s="31" t="str">
        <x:v>F05</x:v>
      </x:c>
      <x:c r="H56" s="31" t="str"/>
      <x:c r="I56" s="31" t="str"/>
      <x:c r="J56" s="31" t="str"/>
      <x:c r="K56" s="10" t="n">
        <x:f>MAX(E56,IF(G56="",1,INDEX($L$6:$L$75,MATCH(G56,$A$6:$A$75,0))+1),IF(H56="",1,INDEX($L$6:$L$75,MATCH(H56,$A$6:$A$75,0))+1),IF(I56="",1,INDEX($L$6:$L$75,MATCH(I56,$A$6:$A$75,0))+1),IF(J56="",1,INDEX($L$6:$L$75,MATCH(J56,$A$6:$A$75,0))+1))</x:f>
        <x:v>85</x:v>
      </x:c>
      <x:c r="L56" s="10" t="n">
        <x:f>K56+F56-1</x:f>
        <x:v>96</x:v>
      </x:c>
      <x:c r="M56" s="33" t="str">
        <x:f>IF('Start here'!$B$5="","",WORKDAY('Start here'!$B$5-1,K56))</x:f>
      </x:c>
      <x:c r="N56" s="33" t="str">
        <x:f>IF('Start here'!$B$5="","",WORKDAY('Start here'!$B$5-1,L56))</x:f>
      </x:c>
      <x:c r="O56" s="31" t="n">
        <x:v>52</x:v>
      </x:c>
      <x:c r="P56" s="31" t="str">
        <x:v>HP</x:v>
      </x:c>
      <x:c r="Q56" s="31" t="n">
        <x:v>8</x:v>
      </x:c>
      <x:c r="R56" s="31" t="str">
        <x:v>Not started</x:v>
      </x:c>
      <x:c r="S56" s="32" t="n">
        <x:v>0</x:v>
      </x:c>
      <x:c r="T56" s="10" t="n">
        <x:v>14</x:v>
      </x:c>
      <x:c r="U56" s="31" t="str"/>
    </x:row>
    <x:row r="57" ht="54" customHeight="1">
      <x:c r="A57" s="9" t="str">
        <x:v>F07</x:v>
      </x:c>
      <x:c r="B57" s="9" t="str">
        <x:v>Training</x:v>
      </x:c>
      <x:c r="C57" s="9" t="str">
        <x:v>Train final adapter and seed repeats</x:v>
      </x:c>
      <x:c r="D57" s="31" t="str">
        <x:v>AI</x:v>
      </x:c>
      <x:c r="E57" s="31" t="n">
        <x:v>110</x:v>
      </x:c>
      <x:c r="F57" s="31" t="n">
        <x:v>3</x:v>
      </x:c>
      <x:c r="G57" s="31" t="str">
        <x:v>D10</x:v>
      </x:c>
      <x:c r="H57" s="31" t="str">
        <x:v>F06</x:v>
      </x:c>
      <x:c r="I57" s="31" t="str"/>
      <x:c r="J57" s="31" t="str"/>
      <x:c r="K57" s="9" t="n">
        <x:f>MAX(E57,IF(G57="",1,INDEX($L$6:$L$75,MATCH(G57,$A$6:$A$75,0))+1),IF(H57="",1,INDEX($L$6:$L$75,MATCH(H57,$A$6:$A$75,0))+1),IF(I57="",1,INDEX($L$6:$L$75,MATCH(I57,$A$6:$A$75,0))+1),IF(J57="",1,INDEX($L$6:$L$75,MATCH(J57,$A$6:$A$75,0))+1))</x:f>
        <x:v>110</x:v>
      </x:c>
      <x:c r="L57" s="9" t="n">
        <x:f>K57+F57-1</x:f>
        <x:v>112</x:v>
      </x:c>
      <x:c r="M57" s="34" t="str">
        <x:f>IF('Start here'!$B$5="","",WORKDAY('Start here'!$B$5-1,K57))</x:f>
      </x:c>
      <x:c r="N57" s="34" t="str">
        <x:f>IF('Start here'!$B$5="","",WORKDAY('Start here'!$B$5-1,L57))</x:f>
      </x:c>
      <x:c r="O57" s="31" t="n">
        <x:v>20</x:v>
      </x:c>
      <x:c r="P57" s="31" t="str">
        <x:v>TD</x:v>
      </x:c>
      <x:c r="Q57" s="31" t="n">
        <x:v>6</x:v>
      </x:c>
      <x:c r="R57" s="31" t="str">
        <x:v>Not started</x:v>
      </x:c>
      <x:c r="S57" s="32" t="n">
        <x:v>0</x:v>
      </x:c>
      <x:c r="T57" s="9" t="n">
        <x:v>14</x:v>
      </x:c>
      <x:c r="U57" s="31" t="str"/>
    </x:row>
    <x:row r="58" ht="54" customHeight="1">
      <x:c r="A58" s="10" t="str">
        <x:v>F08</x:v>
      </x:c>
      <x:c r="B58" s="10" t="str">
        <x:v>Training</x:v>
      </x:c>
      <x:c r="C58" s="10" t="str">
        <x:v>Export reload and compare tuned candidate</x:v>
      </x:c>
      <x:c r="D58" s="31" t="str">
        <x:v>AI</x:v>
      </x:c>
      <x:c r="E58" s="31" t="n">
        <x:v>113</x:v>
      </x:c>
      <x:c r="F58" s="31" t="n">
        <x:v>1</x:v>
      </x:c>
      <x:c r="G58" s="31" t="str">
        <x:v>F07</x:v>
      </x:c>
      <x:c r="H58" s="31" t="str"/>
      <x:c r="I58" s="31" t="str"/>
      <x:c r="J58" s="31" t="str"/>
      <x:c r="K58" s="10" t="n">
        <x:f>MAX(E58,IF(G58="",1,INDEX($L$6:$L$75,MATCH(G58,$A$6:$A$75,0))+1),IF(H58="",1,INDEX($L$6:$L$75,MATCH(H58,$A$6:$A$75,0))+1),IF(I58="",1,INDEX($L$6:$L$75,MATCH(I58,$A$6:$A$75,0))+1),IF(J58="",1,INDEX($L$6:$L$75,MATCH(J58,$A$6:$A$75,0))+1))</x:f>
        <x:v>113</x:v>
      </x:c>
      <x:c r="L58" s="10" t="n">
        <x:f>K58+F58-1</x:f>
        <x:v>113</x:v>
      </x:c>
      <x:c r="M58" s="33" t="str">
        <x:f>IF('Start here'!$B$5="","",WORKDAY('Start here'!$B$5-1,K58))</x:f>
      </x:c>
      <x:c r="N58" s="33" t="str">
        <x:f>IF('Start here'!$B$5="","",WORKDAY('Start here'!$B$5-1,L58))</x:f>
      </x:c>
      <x:c r="O58" s="31" t="n">
        <x:v>8</x:v>
      </x:c>
      <x:c r="P58" s="31" t="str">
        <x:v>HP</x:v>
      </x:c>
      <x:c r="Q58" s="31" t="n">
        <x:v>3</x:v>
      </x:c>
      <x:c r="R58" s="31" t="str">
        <x:v>Not started</x:v>
      </x:c>
      <x:c r="S58" s="32" t="n">
        <x:v>0</x:v>
      </x:c>
      <x:c r="T58" s="10" t="n">
        <x:v>15</x:v>
      </x:c>
      <x:c r="U58" s="31" t="str"/>
    </x:row>
    <x:row r="59" ht="54" customHeight="1">
      <x:c r="A59" s="9" t="str">
        <x:v>G3</x:v>
      </x:c>
      <x:c r="B59" s="9" t="str">
        <x:v>Gate</x:v>
      </x:c>
      <x:c r="C59" s="9" t="str">
        <x:v>G3 freeze release candidate</x:v>
      </x:c>
      <x:c r="D59" s="31" t="str">
        <x:v>HP</x:v>
      </x:c>
      <x:c r="E59" s="31" t="n">
        <x:v>114</x:v>
      </x:c>
      <x:c r="F59" s="31" t="n">
        <x:v>1</x:v>
      </x:c>
      <x:c r="G59" s="31" t="str">
        <x:v>F08</x:v>
      </x:c>
      <x:c r="H59" s="31" t="str">
        <x:v>D08</x:v>
      </x:c>
      <x:c r="I59" s="31" t="str">
        <x:v>D09</x:v>
      </x:c>
      <x:c r="J59" s="31" t="str"/>
      <x:c r="K59" s="9" t="n">
        <x:f>MAX(E59,IF(G59="",1,INDEX($L$6:$L$75,MATCH(G59,$A$6:$A$75,0))+1),IF(H59="",1,INDEX($L$6:$L$75,MATCH(H59,$A$6:$A$75,0))+1),IF(I59="",1,INDEX($L$6:$L$75,MATCH(I59,$A$6:$A$75,0))+1),IF(J59="",1,INDEX($L$6:$L$75,MATCH(J59,$A$6:$A$75,0))+1))</x:f>
        <x:v>114</x:v>
      </x:c>
      <x:c r="L59" s="9" t="n">
        <x:f>K59+F59-1</x:f>
        <x:v>114</x:v>
      </x:c>
      <x:c r="M59" s="34" t="str">
        <x:f>IF('Start here'!$B$5="","",WORKDAY('Start here'!$B$5-1,K59))</x:f>
      </x:c>
      <x:c r="N59" s="34" t="str">
        <x:f>IF('Start here'!$B$5="","",WORKDAY('Start here'!$B$5-1,L59))</x:f>
      </x:c>
      <x:c r="O59" s="31" t="n">
        <x:v>4</x:v>
      </x:c>
      <x:c r="P59" s="31" t="str">
        <x:v>TD</x:v>
      </x:c>
      <x:c r="Q59" s="31" t="n">
        <x:v>3</x:v>
      </x:c>
      <x:c r="R59" s="31" t="str">
        <x:v>Not started</x:v>
      </x:c>
      <x:c r="S59" s="32" t="n">
        <x:v>0</x:v>
      </x:c>
      <x:c r="T59" s="9" t="n">
        <x:v>1</x:v>
      </x:c>
      <x:c r="U59" s="31" t="str"/>
    </x:row>
    <x:row r="60" ht="54" customHeight="1">
      <x:c r="A60" s="10" t="str">
        <x:v>H01</x:v>
      </x:c>
      <x:c r="B60" s="10" t="str">
        <x:v>Application</x:v>
      </x:c>
      <x:c r="C60" s="10" t="str">
        <x:v>Build internal evidence review interface</x:v>
      </x:c>
      <x:c r="D60" s="31" t="str">
        <x:v>OPS</x:v>
      </x:c>
      <x:c r="E60" s="31" t="n">
        <x:v>61</x:v>
      </x:c>
      <x:c r="F60" s="31" t="n">
        <x:v>10</x:v>
      </x:c>
      <x:c r="G60" s="31" t="str">
        <x:v>G2</x:v>
      </x:c>
      <x:c r="H60" s="31" t="str">
        <x:v>E05</x:v>
      </x:c>
      <x:c r="I60" s="31" t="str"/>
      <x:c r="J60" s="31" t="str"/>
      <x:c r="K60" s="10" t="n">
        <x:f>MAX(E60,IF(G60="",1,INDEX($L$6:$L$75,MATCH(G60,$A$6:$A$75,0))+1),IF(H60="",1,INDEX($L$6:$L$75,MATCH(H60,$A$6:$A$75,0))+1),IF(I60="",1,INDEX($L$6:$L$75,MATCH(I60,$A$6:$A$75,0))+1),IF(J60="",1,INDEX($L$6:$L$75,MATCH(J60,$A$6:$A$75,0))+1))</x:f>
        <x:v>61</x:v>
      </x:c>
      <x:c r="L60" s="10" t="n">
        <x:f>K60+F60-1</x:f>
        <x:v>70</x:v>
      </x:c>
      <x:c r="M60" s="33" t="str">
        <x:f>IF('Start here'!$B$5="","",WORKDAY('Start here'!$B$5-1,K60))</x:f>
      </x:c>
      <x:c r="N60" s="33" t="str">
        <x:f>IF('Start here'!$B$5="","",WORKDAY('Start here'!$B$5-1,L60))</x:f>
      </x:c>
      <x:c r="O60" s="31" t="n">
        <x:v>50</x:v>
      </x:c>
      <x:c r="P60" s="31" t="str">
        <x:v>PAE</x:v>
      </x:c>
      <x:c r="Q60" s="31" t="n">
        <x:v>8</x:v>
      </x:c>
      <x:c r="R60" s="31" t="str">
        <x:v>Not started</x:v>
      </x:c>
      <x:c r="S60" s="32" t="n">
        <x:v>0</x:v>
      </x:c>
      <x:c r="T60" s="10" t="n">
        <x:v>17</x:v>
      </x:c>
      <x:c r="U60" s="31" t="str"/>
    </x:row>
    <x:row r="61" ht="54" customHeight="1">
      <x:c r="A61" s="9" t="str">
        <x:v>H02</x:v>
      </x:c>
      <x:c r="B61" s="9" t="str">
        <x:v>Application</x:v>
      </x:c>
      <x:c r="C61" s="9" t="str">
        <x:v>Build inference and tool service</x:v>
      </x:c>
      <x:c r="D61" s="31" t="str">
        <x:v>AI</x:v>
      </x:c>
      <x:c r="E61" s="31" t="n">
        <x:v>75</x:v>
      </x:c>
      <x:c r="F61" s="31" t="n">
        <x:v>10</x:v>
      </x:c>
      <x:c r="G61" s="31" t="str">
        <x:v>H01</x:v>
      </x:c>
      <x:c r="H61" s="31" t="str">
        <x:v>E03</x:v>
      </x:c>
      <x:c r="I61" s="31" t="str"/>
      <x:c r="J61" s="31" t="str"/>
      <x:c r="K61" s="9" t="n">
        <x:f>MAX(E61,IF(G61="",1,INDEX($L$6:$L$75,MATCH(G61,$A$6:$A$75,0))+1),IF(H61="",1,INDEX($L$6:$L$75,MATCH(H61,$A$6:$A$75,0))+1),IF(I61="",1,INDEX($L$6:$L$75,MATCH(I61,$A$6:$A$75,0))+1),IF(J61="",1,INDEX($L$6:$L$75,MATCH(J61,$A$6:$A$75,0))+1))</x:f>
        <x:v>75</x:v>
      </x:c>
      <x:c r="L61" s="9" t="n">
        <x:f>K61+F61-1</x:f>
        <x:v>84</x:v>
      </x:c>
      <x:c r="M61" s="34" t="str">
        <x:f>IF('Start here'!$B$5="","",WORKDAY('Start here'!$B$5-1,K61))</x:f>
      </x:c>
      <x:c r="N61" s="34" t="str">
        <x:f>IF('Start here'!$B$5="","",WORKDAY('Start here'!$B$5-1,L61))</x:f>
      </x:c>
      <x:c r="O61" s="31" t="n">
        <x:v>40</x:v>
      </x:c>
      <x:c r="P61" s="31" t="str">
        <x:v>SEC</x:v>
      </x:c>
      <x:c r="Q61" s="31" t="n">
        <x:v>10</x:v>
      </x:c>
      <x:c r="R61" s="31" t="str">
        <x:v>Not started</x:v>
      </x:c>
      <x:c r="S61" s="32" t="n">
        <x:v>0</x:v>
      </x:c>
      <x:c r="T61" s="9" t="n">
        <x:v>15</x:v>
      </x:c>
      <x:c r="U61" s="31" t="str"/>
    </x:row>
    <x:row r="62" ht="54" customHeight="1">
      <x:c r="A62" s="10" t="str">
        <x:v>H03</x:v>
      </x:c>
      <x:c r="B62" s="10" t="str">
        <x:v>Application</x:v>
      </x:c>
      <x:c r="C62" s="10" t="str">
        <x:v>Integrate serving adapter and processor</x:v>
      </x:c>
      <x:c r="D62" s="31" t="str">
        <x:v>AI</x:v>
      </x:c>
      <x:c r="E62" s="31" t="n">
        <x:v>115</x:v>
      </x:c>
      <x:c r="F62" s="31" t="n">
        <x:v>4</x:v>
      </x:c>
      <x:c r="G62" s="31" t="str">
        <x:v>G3</x:v>
      </x:c>
      <x:c r="H62" s="31" t="str">
        <x:v>H02</x:v>
      </x:c>
      <x:c r="I62" s="31" t="str"/>
      <x:c r="J62" s="31" t="str"/>
      <x:c r="K62" s="10" t="n">
        <x:f>MAX(E62,IF(G62="",1,INDEX($L$6:$L$75,MATCH(G62,$A$6:$A$75,0))+1),IF(H62="",1,INDEX($L$6:$L$75,MATCH(H62,$A$6:$A$75,0))+1),IF(I62="",1,INDEX($L$6:$L$75,MATCH(I62,$A$6:$A$75,0))+1),IF(J62="",1,INDEX($L$6:$L$75,MATCH(J62,$A$6:$A$75,0))+1))</x:f>
        <x:v>115</x:v>
      </x:c>
      <x:c r="L62" s="10" t="n">
        <x:f>K62+F62-1</x:f>
        <x:v>118</x:v>
      </x:c>
      <x:c r="M62" s="33" t="str">
        <x:f>IF('Start here'!$B$5="","",WORKDAY('Start here'!$B$5-1,K62))</x:f>
      </x:c>
      <x:c r="N62" s="33" t="str">
        <x:f>IF('Start here'!$B$5="","",WORKDAY('Start here'!$B$5-1,L62))</x:f>
      </x:c>
      <x:c r="O62" s="31" t="n">
        <x:v>22</x:v>
      </x:c>
      <x:c r="P62" s="31" t="str">
        <x:v>OPS</x:v>
      </x:c>
      <x:c r="Q62" s="31" t="n">
        <x:v>6</x:v>
      </x:c>
      <x:c r="R62" s="31" t="str">
        <x:v>Not started</x:v>
      </x:c>
      <x:c r="S62" s="32" t="n">
        <x:v>0</x:v>
      </x:c>
      <x:c r="T62" s="10" t="n">
        <x:v>15</x:v>
      </x:c>
      <x:c r="U62" s="31" t="str"/>
    </x:row>
    <x:row r="63" ht="54" customHeight="1">
      <x:c r="A63" s="9" t="str">
        <x:v>H04</x:v>
      </x:c>
      <x:c r="B63" s="9" t="str">
        <x:v>Application</x:v>
      </x:c>
      <x:c r="C63" s="9" t="str">
        <x:v>Build monitoring and controlled feedback queue</x:v>
      </x:c>
      <x:c r="D63" s="31" t="str">
        <x:v>OPS</x:v>
      </x:c>
      <x:c r="E63" s="31" t="n">
        <x:v>85</x:v>
      </x:c>
      <x:c r="F63" s="31" t="n">
        <x:v>8</x:v>
      </x:c>
      <x:c r="G63" s="31" t="str">
        <x:v>H02</x:v>
      </x:c>
      <x:c r="H63" s="31" t="str"/>
      <x:c r="I63" s="31" t="str"/>
      <x:c r="J63" s="31" t="str"/>
      <x:c r="K63" s="9" t="n">
        <x:f>MAX(E63,IF(G63="",1,INDEX($L$6:$L$75,MATCH(G63,$A$6:$A$75,0))+1),IF(H63="",1,INDEX($L$6:$L$75,MATCH(H63,$A$6:$A$75,0))+1),IF(I63="",1,INDEX($L$6:$L$75,MATCH(I63,$A$6:$A$75,0))+1),IF(J63="",1,INDEX($L$6:$L$75,MATCH(J63,$A$6:$A$75,0))+1))</x:f>
        <x:v>85</x:v>
      </x:c>
      <x:c r="L63" s="9" t="n">
        <x:f>K63+F63-1</x:f>
        <x:v>92</x:v>
      </x:c>
      <x:c r="M63" s="34" t="str">
        <x:f>IF('Start here'!$B$5="","",WORKDAY('Start here'!$B$5-1,K63))</x:f>
      </x:c>
      <x:c r="N63" s="34" t="str">
        <x:f>IF('Start here'!$B$5="","",WORKDAY('Start here'!$B$5-1,L63))</x:f>
      </x:c>
      <x:c r="O63" s="31" t="n">
        <x:v>36</x:v>
      </x:c>
      <x:c r="P63" s="31" t="str">
        <x:v>SEC</x:v>
      </x:c>
      <x:c r="Q63" s="31" t="n">
        <x:v>6</x:v>
      </x:c>
      <x:c r="R63" s="31" t="str">
        <x:v>Not started</x:v>
      </x:c>
      <x:c r="S63" s="32" t="n">
        <x:v>0</x:v>
      </x:c>
      <x:c r="T63" s="9" t="n">
        <x:v>17</x:v>
      </x:c>
      <x:c r="U63" s="31" t="str"/>
    </x:row>
    <x:row r="64" ht="54" customHeight="1">
      <x:c r="A64" s="10" t="str">
        <x:v>I01</x:v>
      </x:c>
      <x:c r="B64" s="10" t="str">
        <x:v>Evaluation</x:v>
      </x:c>
      <x:c r="C64" s="10" t="str">
        <x:v>Run locked independent technical evaluation</x:v>
      </x:c>
      <x:c r="D64" s="31" t="str">
        <x:v>TD</x:v>
      </x:c>
      <x:c r="E64" s="31" t="n">
        <x:v>119</x:v>
      </x:c>
      <x:c r="F64" s="31" t="n">
        <x:v>5</x:v>
      </x:c>
      <x:c r="G64" s="31" t="str">
        <x:v>H03</x:v>
      </x:c>
      <x:c r="H64" s="31" t="str">
        <x:v>D08</x:v>
      </x:c>
      <x:c r="I64" s="31" t="str"/>
      <x:c r="J64" s="31" t="str"/>
      <x:c r="K64" s="10" t="n">
        <x:f>MAX(E64,IF(G64="",1,INDEX($L$6:$L$75,MATCH(G64,$A$6:$A$75,0))+1),IF(H64="",1,INDEX($L$6:$L$75,MATCH(H64,$A$6:$A$75,0))+1),IF(I64="",1,INDEX($L$6:$L$75,MATCH(I64,$A$6:$A$75,0))+1),IF(J64="",1,INDEX($L$6:$L$75,MATCH(J64,$A$6:$A$75,0))+1))</x:f>
        <x:v>119</x:v>
      </x:c>
      <x:c r="L64" s="10" t="n">
        <x:f>K64+F64-1</x:f>
        <x:v>123</x:v>
      </x:c>
      <x:c r="M64" s="33" t="str">
        <x:f>IF('Start here'!$B$5="","",WORKDAY('Start here'!$B$5-1,K64))</x:f>
      </x:c>
      <x:c r="N64" s="33" t="str">
        <x:f>IF('Start here'!$B$5="","",WORKDAY('Start here'!$B$5-1,L64))</x:f>
      </x:c>
      <x:c r="O64" s="31" t="n">
        <x:v>28</x:v>
      </x:c>
      <x:c r="P64" s="31" t="str">
        <x:v>EXP</x:v>
      </x:c>
      <x:c r="Q64" s="31" t="n">
        <x:v>60</x:v>
      </x:c>
      <x:c r="R64" s="31" t="str">
        <x:v>Not started</x:v>
      </x:c>
      <x:c r="S64" s="32" t="n">
        <x:v>0</x:v>
      </x:c>
      <x:c r="T64" s="10" t="n">
        <x:v>16</x:v>
      </x:c>
      <x:c r="U64" s="31" t="str"/>
    </x:row>
    <x:row r="65" ht="54" customHeight="1">
      <x:c r="A65" s="9" t="str">
        <x:v>I02</x:v>
      </x:c>
      <x:c r="B65" s="9" t="str">
        <x:v>Evaluation</x:v>
      </x:c>
      <x:c r="C65" s="9" t="str">
        <x:v>Run challenge and security tests</x:v>
      </x:c>
      <x:c r="D65" s="31" t="str">
        <x:v>SEC</x:v>
      </x:c>
      <x:c r="E65" s="31" t="n">
        <x:v>119</x:v>
      </x:c>
      <x:c r="F65" s="31" t="n">
        <x:v>5</x:v>
      </x:c>
      <x:c r="G65" s="31" t="str">
        <x:v>H03</x:v>
      </x:c>
      <x:c r="H65" s="31" t="str">
        <x:v>D08</x:v>
      </x:c>
      <x:c r="I65" s="31" t="str"/>
      <x:c r="J65" s="31" t="str"/>
      <x:c r="K65" s="9" t="n">
        <x:f>MAX(E65,IF(G65="",1,INDEX($L$6:$L$75,MATCH(G65,$A$6:$A$75,0))+1),IF(H65="",1,INDEX($L$6:$L$75,MATCH(H65,$A$6:$A$75,0))+1),IF(I65="",1,INDEX($L$6:$L$75,MATCH(I65,$A$6:$A$75,0))+1),IF(J65="",1,INDEX($L$6:$L$75,MATCH(J65,$A$6:$A$75,0))+1))</x:f>
        <x:v>119</x:v>
      </x:c>
      <x:c r="L65" s="9" t="n">
        <x:f>K65+F65-1</x:f>
        <x:v>123</x:v>
      </x:c>
      <x:c r="M65" s="34" t="str">
        <x:f>IF('Start here'!$B$5="","",WORKDAY('Start here'!$B$5-1,K65))</x:f>
      </x:c>
      <x:c r="N65" s="34" t="str">
        <x:f>IF('Start here'!$B$5="","",WORKDAY('Start here'!$B$5-1,L65))</x:f>
      </x:c>
      <x:c r="O65" s="31" t="n">
        <x:v>28</x:v>
      </x:c>
      <x:c r="P65" s="31" t="str">
        <x:v>OPS</x:v>
      </x:c>
      <x:c r="Q65" s="31" t="n">
        <x:v>10</x:v>
      </x:c>
      <x:c r="R65" s="31" t="str">
        <x:v>Not started</x:v>
      </x:c>
      <x:c r="S65" s="32" t="n">
        <x:v>0</x:v>
      </x:c>
      <x:c r="T65" s="9" t="n">
        <x:v>17</x:v>
      </x:c>
      <x:c r="U65" s="31" t="str"/>
    </x:row>
    <x:row r="66" ht="54" customHeight="1">
      <x:c r="A66" s="10" t="str">
        <x:v>I03</x:v>
      </x:c>
      <x:c r="B66" s="10" t="str">
        <x:v>Evaluation</x:v>
      </x:c>
      <x:c r="C66" s="10" t="str">
        <x:v>Measure workload and reviewer efficiency</x:v>
      </x:c>
      <x:c r="D66" s="31" t="str">
        <x:v>HP</x:v>
      </x:c>
      <x:c r="E66" s="31" t="n">
        <x:v>119</x:v>
      </x:c>
      <x:c r="F66" s="31" t="n">
        <x:v>5</x:v>
      </x:c>
      <x:c r="G66" s="31" t="str">
        <x:v>H03</x:v>
      </x:c>
      <x:c r="H66" s="31" t="str">
        <x:v>A03</x:v>
      </x:c>
      <x:c r="I66" s="31" t="str"/>
      <x:c r="J66" s="31" t="str"/>
      <x:c r="K66" s="10" t="n">
        <x:f>MAX(E66,IF(G66="",1,INDEX($L$6:$L$75,MATCH(G66,$A$6:$A$75,0))+1),IF(H66="",1,INDEX($L$6:$L$75,MATCH(H66,$A$6:$A$75,0))+1),IF(I66="",1,INDEX($L$6:$L$75,MATCH(I66,$A$6:$A$75,0))+1),IF(J66="",1,INDEX($L$6:$L$75,MATCH(J66,$A$6:$A$75,0))+1))</x:f>
        <x:v>119</x:v>
      </x:c>
      <x:c r="L66" s="10" t="n">
        <x:f>K66+F66-1</x:f>
        <x:v>123</x:v>
      </x:c>
      <x:c r="M66" s="33" t="str">
        <x:f>IF('Start here'!$B$5="","",WORKDAY('Start here'!$B$5-1,K66))</x:f>
      </x:c>
      <x:c r="N66" s="33" t="str">
        <x:f>IF('Start here'!$B$5="","",WORKDAY('Start here'!$B$5-1,L66))</x:f>
      </x:c>
      <x:c r="O66" s="31" t="n">
        <x:v>20</x:v>
      </x:c>
      <x:c r="P66" s="31" t="str">
        <x:v>CD</x:v>
      </x:c>
      <x:c r="Q66" s="31" t="n">
        <x:v>8</x:v>
      </x:c>
      <x:c r="R66" s="31" t="str">
        <x:v>Not started</x:v>
      </x:c>
      <x:c r="S66" s="32" t="n">
        <x:v>0</x:v>
      </x:c>
      <x:c r="T66" s="10" t="n">
        <x:v>16</x:v>
      </x:c>
      <x:c r="U66" s="31" t="str"/>
    </x:row>
    <x:row r="67" ht="54" customHeight="1">
      <x:c r="A67" s="9" t="str">
        <x:v>I04</x:v>
      </x:c>
      <x:c r="B67" s="9" t="str">
        <x:v>Evaluation</x:v>
      </x:c>
      <x:c r="C67" s="9" t="str">
        <x:v>Remediate and prepare fresh evaluation cases</x:v>
      </x:c>
      <x:c r="D67" s="31" t="str">
        <x:v>AI</x:v>
      </x:c>
      <x:c r="E67" s="31" t="n">
        <x:v>124</x:v>
      </x:c>
      <x:c r="F67" s="31" t="n">
        <x:v>6</x:v>
      </x:c>
      <x:c r="G67" s="31" t="str">
        <x:v>I01</x:v>
      </x:c>
      <x:c r="H67" s="31" t="str">
        <x:v>I02</x:v>
      </x:c>
      <x:c r="I67" s="31" t="str">
        <x:v>I03</x:v>
      </x:c>
      <x:c r="J67" s="31" t="str"/>
      <x:c r="K67" s="9" t="n">
        <x:f>MAX(E67,IF(G67="",1,INDEX($L$6:$L$75,MATCH(G67,$A$6:$A$75,0))+1),IF(H67="",1,INDEX($L$6:$L$75,MATCH(H67,$A$6:$A$75,0))+1),IF(I67="",1,INDEX($L$6:$L$75,MATCH(I67,$A$6:$A$75,0))+1),IF(J67="",1,INDEX($L$6:$L$75,MATCH(J67,$A$6:$A$75,0))+1))</x:f>
        <x:v>124</x:v>
      </x:c>
      <x:c r="L67" s="9" t="n">
        <x:f>K67+F67-1</x:f>
        <x:v>129</x:v>
      </x:c>
      <x:c r="M67" s="34" t="str">
        <x:f>IF('Start here'!$B$5="","",WORKDAY('Start here'!$B$5-1,K67))</x:f>
      </x:c>
      <x:c r="N67" s="34" t="str">
        <x:f>IF('Start here'!$B$5="","",WORKDAY('Start here'!$B$5-1,L67))</x:f>
      </x:c>
      <x:c r="O67" s="31" t="n">
        <x:v>30</x:v>
      </x:c>
      <x:c r="P67" s="31" t="str">
        <x:v>EXP</x:v>
      </x:c>
      <x:c r="Q67" s="31" t="n">
        <x:v>30</x:v>
      </x:c>
      <x:c r="R67" s="31" t="str">
        <x:v>Not started</x:v>
      </x:c>
      <x:c r="S67" s="32" t="n">
        <x:v>0</x:v>
      </x:c>
      <x:c r="T67" s="9" t="n">
        <x:v>16</x:v>
      </x:c>
      <x:c r="U67" s="31" t="str"/>
    </x:row>
    <x:row r="68" ht="54" customHeight="1">
      <x:c r="A68" s="10" t="str">
        <x:v>I05</x:v>
      </x:c>
      <x:c r="B68" s="10" t="str">
        <x:v>Evaluation</x:v>
      </x:c>
      <x:c r="C68" s="10" t="str">
        <x:v>Test backup restore and rollback</x:v>
      </x:c>
      <x:c r="D68" s="31" t="str">
        <x:v>OPS</x:v>
      </x:c>
      <x:c r="E68" s="31" t="n">
        <x:v>119</x:v>
      </x:c>
      <x:c r="F68" s="31" t="n">
        <x:v>4</x:v>
      </x:c>
      <x:c r="G68" s="31" t="str">
        <x:v>H03</x:v>
      </x:c>
      <x:c r="H68" s="31" t="str">
        <x:v>H04</x:v>
      </x:c>
      <x:c r="I68" s="31" t="str"/>
      <x:c r="J68" s="31" t="str"/>
      <x:c r="K68" s="10" t="n">
        <x:f>MAX(E68,IF(G68="",1,INDEX($L$6:$L$75,MATCH(G68,$A$6:$A$75,0))+1),IF(H68="",1,INDEX($L$6:$L$75,MATCH(H68,$A$6:$A$75,0))+1),IF(I68="",1,INDEX($L$6:$L$75,MATCH(I68,$A$6:$A$75,0))+1),IF(J68="",1,INDEX($L$6:$L$75,MATCH(J68,$A$6:$A$75,0))+1))</x:f>
        <x:v>119</x:v>
      </x:c>
      <x:c r="L68" s="10" t="n">
        <x:f>K68+F68-1</x:f>
        <x:v>122</x:v>
      </x:c>
      <x:c r="M68" s="33" t="str">
        <x:f>IF('Start here'!$B$5="","",WORKDAY('Start here'!$B$5-1,K68))</x:f>
      </x:c>
      <x:c r="N68" s="33" t="str">
        <x:f>IF('Start here'!$B$5="","",WORKDAY('Start here'!$B$5-1,L68))</x:f>
      </x:c>
      <x:c r="O68" s="31" t="n">
        <x:v>20</x:v>
      </x:c>
      <x:c r="P68" s="31" t="str">
        <x:v>SEC</x:v>
      </x:c>
      <x:c r="Q68" s="31" t="n">
        <x:v>5</x:v>
      </x:c>
      <x:c r="R68" s="31" t="str">
        <x:v>Not started</x:v>
      </x:c>
      <x:c r="S68" s="32" t="n">
        <x:v>0</x:v>
      </x:c>
      <x:c r="T68" s="10" t="n">
        <x:v>17</x:v>
      </x:c>
      <x:c r="U68" s="31" t="str"/>
    </x:row>
    <x:row r="69" ht="54" customHeight="1">
      <x:c r="A69" s="9" t="str">
        <x:v>I06</x:v>
      </x:c>
      <x:c r="B69" s="9" t="str">
        <x:v>Evaluation</x:v>
      </x:c>
      <x:c r="C69" s="9" t="str">
        <x:v>Sign technical security and release records</x:v>
      </x:c>
      <x:c r="D69" s="31" t="str">
        <x:v>HP</x:v>
      </x:c>
      <x:c r="E69" s="31" t="n">
        <x:v>130</x:v>
      </x:c>
      <x:c r="F69" s="31" t="n">
        <x:v>3</x:v>
      </x:c>
      <x:c r="G69" s="31" t="str">
        <x:v>I04</x:v>
      </x:c>
      <x:c r="H69" s="31" t="str">
        <x:v>I05</x:v>
      </x:c>
      <x:c r="I69" s="31" t="str"/>
      <x:c r="J69" s="31" t="str"/>
      <x:c r="K69" s="9" t="n">
        <x:f>MAX(E69,IF(G69="",1,INDEX($L$6:$L$75,MATCH(G69,$A$6:$A$75,0))+1),IF(H69="",1,INDEX($L$6:$L$75,MATCH(H69,$A$6:$A$75,0))+1),IF(I69="",1,INDEX($L$6:$L$75,MATCH(I69,$A$6:$A$75,0))+1),IF(J69="",1,INDEX($L$6:$L$75,MATCH(J69,$A$6:$A$75,0))+1))</x:f>
        <x:v>130</x:v>
      </x:c>
      <x:c r="L69" s="9" t="n">
        <x:f>K69+F69-1</x:f>
        <x:v>132</x:v>
      </x:c>
      <x:c r="M69" s="34" t="str">
        <x:f>IF('Start here'!$B$5="","",WORKDAY('Start here'!$B$5-1,K69))</x:f>
      </x:c>
      <x:c r="N69" s="34" t="str">
        <x:f>IF('Start here'!$B$5="","",WORKDAY('Start here'!$B$5-1,L69))</x:f>
      </x:c>
      <x:c r="O69" s="31" t="n">
        <x:v>10</x:v>
      </x:c>
      <x:c r="P69" s="31" t="str">
        <x:v>TD</x:v>
      </x:c>
      <x:c r="Q69" s="31" t="n">
        <x:v>4</x:v>
      </x:c>
      <x:c r="R69" s="31" t="str">
        <x:v>Not started</x:v>
      </x:c>
      <x:c r="S69" s="32" t="n">
        <x:v>0</x:v>
      </x:c>
      <x:c r="T69" s="9" t="n">
        <x:v>17</x:v>
      </x:c>
      <x:c r="U69" s="31" t="str"/>
    </x:row>
    <x:row r="70" ht="54" customHeight="1">
      <x:c r="A70" s="10" t="str">
        <x:v>G4</x:v>
      </x:c>
      <x:c r="B70" s="10" t="str">
        <x:v>Gate</x:v>
      </x:c>
      <x:c r="C70" s="10" t="str">
        <x:v>G4 authorize supervised internal pilot</x:v>
      </x:c>
      <x:c r="D70" s="31" t="str">
        <x:v>MD</x:v>
      </x:c>
      <x:c r="E70" s="31" t="n">
        <x:v>133</x:v>
      </x:c>
      <x:c r="F70" s="31" t="n">
        <x:v>1</x:v>
      </x:c>
      <x:c r="G70" s="31" t="str">
        <x:v>I06</x:v>
      </x:c>
      <x:c r="H70" s="31" t="str"/>
      <x:c r="I70" s="31" t="str"/>
      <x:c r="J70" s="31" t="str"/>
      <x:c r="K70" s="10" t="n">
        <x:f>MAX(E70,IF(G70="",1,INDEX($L$6:$L$75,MATCH(G70,$A$6:$A$75,0))+1),IF(H70="",1,INDEX($L$6:$L$75,MATCH(H70,$A$6:$A$75,0))+1),IF(I70="",1,INDEX($L$6:$L$75,MATCH(I70,$A$6:$A$75,0))+1),IF(J70="",1,INDEX($L$6:$L$75,MATCH(J70,$A$6:$A$75,0))+1))</x:f>
        <x:v>133</x:v>
      </x:c>
      <x:c r="L70" s="10" t="n">
        <x:f>K70+F70-1</x:f>
        <x:v>133</x:v>
      </x:c>
      <x:c r="M70" s="33" t="str">
        <x:f>IF('Start here'!$B$5="","",WORKDAY('Start here'!$B$5-1,K70))</x:f>
      </x:c>
      <x:c r="N70" s="33" t="str">
        <x:f>IF('Start here'!$B$5="","",WORKDAY('Start here'!$B$5-1,L70))</x:f>
      </x:c>
      <x:c r="O70" s="31" t="n">
        <x:v>4</x:v>
      </x:c>
      <x:c r="P70" s="31" t="str">
        <x:v>HP</x:v>
      </x:c>
      <x:c r="Q70" s="31" t="n">
        <x:v>2</x:v>
      </x:c>
      <x:c r="R70" s="31" t="str">
        <x:v>Not started</x:v>
      </x:c>
      <x:c r="S70" s="32" t="n">
        <x:v>0</x:v>
      </x:c>
      <x:c r="T70" s="10" t="n">
        <x:v>1</x:v>
      </x:c>
      <x:c r="U70" s="31" t="str"/>
    </x:row>
    <x:row r="71" ht="54" customHeight="1">
      <x:c r="A71" s="9" t="str">
        <x:v>J01</x:v>
      </x:c>
      <x:c r="B71" s="9" t="str">
        <x:v>Pilot</x:v>
      </x:c>
      <x:c r="C71" s="9" t="str">
        <x:v>Onboard ten internal pilot users</x:v>
      </x:c>
      <x:c r="D71" s="31" t="str">
        <x:v>CD</x:v>
      </x:c>
      <x:c r="E71" s="31" t="n">
        <x:v>134</x:v>
      </x:c>
      <x:c r="F71" s="31" t="n">
        <x:v>3</x:v>
      </x:c>
      <x:c r="G71" s="31" t="str">
        <x:v>G4</x:v>
      </x:c>
      <x:c r="H71" s="31" t="str"/>
      <x:c r="I71" s="31" t="str"/>
      <x:c r="J71" s="31" t="str"/>
      <x:c r="K71" s="9" t="n">
        <x:f>MAX(E71,IF(G71="",1,INDEX($L$6:$L$75,MATCH(G71,$A$6:$A$75,0))+1),IF(H71="",1,INDEX($L$6:$L$75,MATCH(H71,$A$6:$A$75,0))+1),IF(I71="",1,INDEX($L$6:$L$75,MATCH(I71,$A$6:$A$75,0))+1),IF(J71="",1,INDEX($L$6:$L$75,MATCH(J71,$A$6:$A$75,0))+1))</x:f>
        <x:v>134</x:v>
      </x:c>
      <x:c r="L71" s="9" t="n">
        <x:f>K71+F71-1</x:f>
        <x:v>136</x:v>
      </x:c>
      <x:c r="M71" s="34" t="str">
        <x:f>IF('Start here'!$B$5="","",WORKDAY('Start here'!$B$5-1,K71))</x:f>
      </x:c>
      <x:c r="N71" s="34" t="str">
        <x:f>IF('Start here'!$B$5="","",WORKDAY('Start here'!$B$5-1,L71))</x:f>
      </x:c>
      <x:c r="O71" s="31" t="n">
        <x:v>18</x:v>
      </x:c>
      <x:c r="P71" s="31" t="str">
        <x:v>TD</x:v>
      </x:c>
      <x:c r="Q71" s="31" t="n">
        <x:v>4</x:v>
      </x:c>
      <x:c r="R71" s="31" t="str">
        <x:v>Not started</x:v>
      </x:c>
      <x:c r="S71" s="32" t="n">
        <x:v>0</x:v>
      </x:c>
      <x:c r="T71" s="9" t="n">
        <x:v>18</x:v>
      </x:c>
      <x:c r="U71" s="31" t="str"/>
    </x:row>
    <x:row r="72" ht="54" customHeight="1">
      <x:c r="A72" s="10" t="str">
        <x:v>J02</x:v>
      </x:c>
      <x:c r="B72" s="10" t="str">
        <x:v>Pilot</x:v>
      </x:c>
      <x:c r="C72" s="10" t="str">
        <x:v>Run supervised briefs and weekly reviews</x:v>
      </x:c>
      <x:c r="D72" s="31" t="str">
        <x:v>PAE</x:v>
      </x:c>
      <x:c r="E72" s="31" t="n">
        <x:v>137</x:v>
      </x:c>
      <x:c r="F72" s="31" t="n">
        <x:v>14</x:v>
      </x:c>
      <x:c r="G72" s="31" t="str">
        <x:v>J01</x:v>
      </x:c>
      <x:c r="H72" s="31" t="str"/>
      <x:c r="I72" s="31" t="str"/>
      <x:c r="J72" s="31" t="str"/>
      <x:c r="K72" s="10" t="n">
        <x:f>MAX(E72,IF(G72="",1,INDEX($L$6:$L$75,MATCH(G72,$A$6:$A$75,0))+1),IF(H72="",1,INDEX($L$6:$L$75,MATCH(H72,$A$6:$A$75,0))+1),IF(I72="",1,INDEX($L$6:$L$75,MATCH(I72,$A$6:$A$75,0))+1),IF(J72="",1,INDEX($L$6:$L$75,MATCH(J72,$A$6:$A$75,0))+1))</x:f>
        <x:v>137</x:v>
      </x:c>
      <x:c r="L72" s="10" t="n">
        <x:f>K72+F72-1</x:f>
        <x:v>150</x:v>
      </x:c>
      <x:c r="M72" s="33" t="str">
        <x:f>IF('Start here'!$B$5="","",WORKDAY('Start here'!$B$5-1,K72))</x:f>
      </x:c>
      <x:c r="N72" s="33" t="str">
        <x:f>IF('Start here'!$B$5="","",WORKDAY('Start here'!$B$5-1,L72))</x:f>
      </x:c>
      <x:c r="O72" s="31" t="n">
        <x:v>90</x:v>
      </x:c>
      <x:c r="P72" s="31" t="str">
        <x:v>EXP</x:v>
      </x:c>
      <x:c r="Q72" s="31" t="n">
        <x:v>80</x:v>
      </x:c>
      <x:c r="R72" s="31" t="str">
        <x:v>Not started</x:v>
      </x:c>
      <x:c r="S72" s="32" t="n">
        <x:v>0</x:v>
      </x:c>
      <x:c r="T72" s="10" t="n">
        <x:v>18</x:v>
      </x:c>
      <x:c r="U72" s="31" t="str"/>
    </x:row>
    <x:row r="73" ht="54" customHeight="1">
      <x:c r="A73" s="9" t="str">
        <x:v>J03</x:v>
      </x:c>
      <x:c r="B73" s="9" t="str">
        <x:v>Pilot</x:v>
      </x:c>
      <x:c r="C73" s="9" t="str">
        <x:v>Measure pilot value and operating cost</x:v>
      </x:c>
      <x:c r="D73" s="31" t="str">
        <x:v>HP</x:v>
      </x:c>
      <x:c r="E73" s="31" t="n">
        <x:v>137</x:v>
      </x:c>
      <x:c r="F73" s="31" t="n">
        <x:v>4</x:v>
      </x:c>
      <x:c r="G73" s="31" t="str">
        <x:v>J01</x:v>
      </x:c>
      <x:c r="H73" s="31" t="str"/>
      <x:c r="I73" s="31" t="str"/>
      <x:c r="J73" s="31" t="str"/>
      <x:c r="K73" s="9" t="n">
        <x:f>MAX(E73,IF(G73="",1,INDEX($L$6:$L$75,MATCH(G73,$A$6:$A$75,0))+1),IF(H73="",1,INDEX($L$6:$L$75,MATCH(H73,$A$6:$A$75,0))+1),IF(I73="",1,INDEX($L$6:$L$75,MATCH(I73,$A$6:$A$75,0))+1),IF(J73="",1,INDEX($L$6:$L$75,MATCH(J73,$A$6:$A$75,0))+1))</x:f>
        <x:v>137</x:v>
      </x:c>
      <x:c r="L73" s="9" t="n">
        <x:f>K73+F73-1</x:f>
        <x:v>140</x:v>
      </x:c>
      <x:c r="M73" s="34" t="str">
        <x:f>IF('Start here'!$B$5="","",WORKDAY('Start here'!$B$5-1,K73))</x:f>
      </x:c>
      <x:c r="N73" s="34" t="str">
        <x:f>IF('Start here'!$B$5="","",WORKDAY('Start here'!$B$5-1,L73))</x:f>
      </x:c>
      <x:c r="O73" s="31" t="n">
        <x:v>20</x:v>
      </x:c>
      <x:c r="P73" s="31" t="str">
        <x:v>CD</x:v>
      </x:c>
      <x:c r="Q73" s="31" t="n">
        <x:v>8</x:v>
      </x:c>
      <x:c r="R73" s="31" t="str">
        <x:v>Not started</x:v>
      </x:c>
      <x:c r="S73" s="32" t="n">
        <x:v>0</x:v>
      </x:c>
      <x:c r="T73" s="9" t="n">
        <x:v>18</x:v>
      </x:c>
      <x:c r="U73" s="31" t="str"/>
    </x:row>
    <x:row r="74" ht="54" customHeight="1">
      <x:c r="A74" s="10" t="str">
        <x:v>J04</x:v>
      </x:c>
      <x:c r="B74" s="10" t="str">
        <x:v>Pilot</x:v>
      </x:c>
      <x:c r="C74" s="10" t="str">
        <x:v>Prepare continuation and next backlog</x:v>
      </x:c>
      <x:c r="D74" s="31" t="str">
        <x:v>MD</x:v>
      </x:c>
      <x:c r="E74" s="31" t="n">
        <x:v>151</x:v>
      </x:c>
      <x:c r="F74" s="31" t="n">
        <x:v>1</x:v>
      </x:c>
      <x:c r="G74" s="31" t="str">
        <x:v>J02</x:v>
      </x:c>
      <x:c r="H74" s="31" t="str">
        <x:v>J03</x:v>
      </x:c>
      <x:c r="I74" s="31" t="str"/>
      <x:c r="J74" s="31" t="str"/>
      <x:c r="K74" s="10" t="n">
        <x:f>MAX(E74,IF(G74="",1,INDEX($L$6:$L$75,MATCH(G74,$A$6:$A$75,0))+1),IF(H74="",1,INDEX($L$6:$L$75,MATCH(H74,$A$6:$A$75,0))+1),IF(I74="",1,INDEX($L$6:$L$75,MATCH(I74,$A$6:$A$75,0))+1),IF(J74="",1,INDEX($L$6:$L$75,MATCH(J74,$A$6:$A$75,0))+1))</x:f>
        <x:v>151</x:v>
      </x:c>
      <x:c r="L74" s="10" t="n">
        <x:f>K74+F74-1</x:f>
        <x:v>151</x:v>
      </x:c>
      <x:c r="M74" s="33" t="str">
        <x:f>IF('Start here'!$B$5="","",WORKDAY('Start here'!$B$5-1,K74))</x:f>
      </x:c>
      <x:c r="N74" s="33" t="str">
        <x:f>IF('Start here'!$B$5="","",WORKDAY('Start here'!$B$5-1,L74))</x:f>
      </x:c>
      <x:c r="O74" s="31" t="n">
        <x:v>6</x:v>
      </x:c>
      <x:c r="P74" s="31" t="str">
        <x:v>TD</x:v>
      </x:c>
      <x:c r="Q74" s="31" t="n">
        <x:v>3</x:v>
      </x:c>
      <x:c r="R74" s="31" t="str">
        <x:v>Not started</x:v>
      </x:c>
      <x:c r="S74" s="32" t="n">
        <x:v>0</x:v>
      </x:c>
      <x:c r="T74" s="10" t="n">
        <x:v>18</x:v>
      </x:c>
      <x:c r="U74" s="31" t="str"/>
    </x:row>
    <x:row r="75" ht="54" customHeight="1">
      <x:c r="A75" s="9" t="str">
        <x:v>G5</x:v>
      </x:c>
      <x:c r="B75" s="9" t="str">
        <x:v>Gate</x:v>
      </x:c>
      <x:c r="C75" s="9" t="str">
        <x:v>G5 decide continuation</x:v>
      </x:c>
      <x:c r="D75" s="31" t="str">
        <x:v>MD</x:v>
      </x:c>
      <x:c r="E75" s="31" t="n">
        <x:v>152</x:v>
      </x:c>
      <x:c r="F75" s="31" t="n">
        <x:v>1</x:v>
      </x:c>
      <x:c r="G75" s="31" t="str">
        <x:v>J04</x:v>
      </x:c>
      <x:c r="H75" s="31" t="str"/>
      <x:c r="I75" s="31" t="str"/>
      <x:c r="J75" s="31" t="str"/>
      <x:c r="K75" s="9" t="n">
        <x:f>MAX(E75,IF(G75="",1,INDEX($L$6:$L$75,MATCH(G75,$A$6:$A$75,0))+1),IF(H75="",1,INDEX($L$6:$L$75,MATCH(H75,$A$6:$A$75,0))+1),IF(I75="",1,INDEX($L$6:$L$75,MATCH(I75,$A$6:$A$75,0))+1),IF(J75="",1,INDEX($L$6:$L$75,MATCH(J75,$A$6:$A$75,0))+1))</x:f>
        <x:v>152</x:v>
      </x:c>
      <x:c r="L75" s="9" t="n">
        <x:f>K75+F75-1</x:f>
        <x:v>152</x:v>
      </x:c>
      <x:c r="M75" s="34" t="str">
        <x:f>IF('Start here'!$B$5="","",WORKDAY('Start here'!$B$5-1,K75))</x:f>
      </x:c>
      <x:c r="N75" s="34" t="str">
        <x:f>IF('Start here'!$B$5="","",WORKDAY('Start here'!$B$5-1,L75))</x:f>
      </x:c>
      <x:c r="O75" s="31" t="n">
        <x:v>4</x:v>
      </x:c>
      <x:c r="P75" s="31" t="str">
        <x:v>HP</x:v>
      </x:c>
      <x:c r="Q75" s="31" t="n">
        <x:v>2</x:v>
      </x:c>
      <x:c r="R75" s="31" t="str">
        <x:v>Not started</x:v>
      </x:c>
      <x:c r="S75" s="32" t="n">
        <x:v>0</x:v>
      </x:c>
      <x:c r="T75" s="9" t="n">
        <x:v>1</x:v>
      </x:c>
      <x:c r="U75" s="31" t="str"/>
    </x:row>
  </x:sheetData>
  <x:dataValidations count="1">
    <x:dataValidation type="list" sqref="R6:R75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aa42dc40804f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40" hidden="0" customWidth="1"/>
    <x:col min="3" max="3" width="50" hidden="0" customWidth="1"/>
    <x:col min="4" max="4" width="88" hidden="0" customWidth="1"/>
    <x:col min="5" max="5" width="44" hidden="0" customWidth="1"/>
    <x:col min="6" max="6" width="74" hidden="0" customWidth="1"/>
    <x:col min="7" max="7" width="30" hidden="0" customWidth="1"/>
    <x:col min="8" max="8" width="12" hidden="0" customWidth="1"/>
  </x:cols>
  <x:sheetData>
    <x:row r="1" ht="27" customHeight="1">
      <x:c r="A1" s="2" t="str">
        <x:v>Task procedures and acceptance</x:v>
      </x:c>
      <x:c r="B1" s="1"/>
      <x:c r="C1" s="1"/>
      <x:c r="D1" s="1"/>
      <x:c r="E1" s="1"/>
      <x:c r="F1" s="1"/>
      <x:c r="G1" s="1"/>
      <x:c r="H1" s="1"/>
    </x:row>
    <x:row r="2" ht="28" customHeight="1">
      <x:c r="A2" s="3" t="str">
        <x:v>Follow the row identified in Tasks. Deliverables are required implementation outputs, not files already produced.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7" t="str">
        <x:v>ID</x:v>
      </x:c>
      <x:c r="B5" s="7" t="str">
        <x:v>Task</x:v>
      </x:c>
      <x:c r="C5" s="7" t="str">
        <x:v>Inputs</x:v>
      </x:c>
      <x:c r="D5" s="7" t="str">
        <x:v>Implementation steps</x:v>
      </x:c>
      <x:c r="E5" s="7" t="str">
        <x:v>Required output</x:v>
      </x:c>
      <x:c r="F5" s="7" t="str">
        <x:v>Acceptance check</x:v>
      </x:c>
      <x:c r="G5" s="7" t="str">
        <x:v>Reviewer</x:v>
      </x:c>
      <x:c r="H5" s="7" t="str">
        <x:v>Runbook section</x:v>
      </x:c>
    </x:row>
    <x:row r="6" ht="100" customHeight="1">
      <x:c r="A6" s="10" t="str">
        <x:v>B01</x:v>
      </x:c>
      <x:c r="B6" s="10" t="str">
        <x:v>Launch AWS GPU workspace and private S3 stores</x:v>
      </x:c>
      <x:c r="C6" s="10" t="str">
        <x:v>Existing authorized AWS sandbox, region, network and spend envelope</x:v>
      </x:c>
      <x:c r="D6" s="10" t="str">
        <x:v>Follow AWS 2: choose g6e.2xlarge and a compatible PyTorch GPU DLAMI; attach encrypted 300 GiB gp3 EBS; use Session Manager and an instance role; create private versioned S3 model, data, run and evaluator stores; record resource IDs. Use only public model weights and synthetic fixtures until G0.</x:v>
      </x:c>
      <x:c r="E6" s="10" t="str">
        <x:v>aws_environment.json, GPU host and S3 inventory</x:v>
      </x:c>
      <x:c r="F6" s="10" t="str">
        <x:v>Session Manager works; nvidia-smi detects one L40S; S3 role tests pass; evaluator bucket is denied to trainer. Account/quota/network access confirmed before day 1.</x:v>
      </x:c>
      <x:c r="G6" s="10" t="str">
        <x:v>Parent security lead</x:v>
      </x:c>
      <x:c r="H6" s="10" t="n">
        <x:v>2</x:v>
      </x:c>
    </x:row>
    <x:row r="7" ht="100" customHeight="1">
      <x:c r="A7" s="9" t="str">
        <x:v>B02</x:v>
      </x:c>
      <x:c r="B7" s="9" t="str">
        <x:v>Prepare PyTorch environment on AWS GPU host</x:v>
      </x:c>
      <x:c r="C7" s="9" t="str">
        <x:v>AWS GPU host and DLAMI PyTorch environment</x:v>
      </x:c>
      <x:c r="D7" s="9" t="str">
        <x:v>Follow AWS 3: activate the AMI PyTorch environment, create an isolated overlay, keep the AMI CUDA/PyTorch stack, install model libraries, run pip check and CUDA/BF16 checks. Save AMI, driver, Python and package inventory.</x:v>
      </x:c>
      <x:c r="E7" s="9" t="str">
        <x:v>candidate-requirements.txt and environment report</x:v>
      </x:c>
      <x:c r="F7" s="9" t="str">
        <x:v>Imports and GPU/BF16 checks succeed; exact versions or Git commits captured.</x:v>
      </x:c>
      <x:c r="G7" s="9" t="str">
        <x:v>Contracted implementation specialist</x:v>
      </x:c>
      <x:c r="H7" s="9" t="n">
        <x:v>12</x:v>
      </x:c>
    </x:row>
    <x:row r="8" ht="100" customHeight="1">
      <x:c r="A8" s="10" t="str">
        <x:v>B03</x:v>
      </x:c>
      <x:c r="B8" s="10" t="str">
        <x:v>Pin the Hugging Face foundation model revision</x:v>
      </x:c>
      <x:c r="C8" s="10" t="str">
        <x:v>Qwen/Qwen3.5-4B model card and Apache-2.0 license</x:v>
      </x:c>
      <x:c r="D8" s="10" t="str">
        <x:v>Choose the post-trained image/text checkpoint as the starting foundation. Resolve and save its full repository SHA and license evidence. Other candidates remain comparison options; pin embeddings separately when building retrieval.</x:v>
      </x:c>
      <x:c r="E8" s="10" t="str">
        <x:v>foundation_revision.json</x:v>
      </x:c>
      <x:c r="F8" s="10" t="str">
        <x:v>Exact model revision and license recorded; no floating model revision in subsequent runs.</x:v>
      </x:c>
      <x:c r="G8" s="10" t="str">
        <x:v>Parent security lead</x:v>
      </x:c>
      <x:c r="H8" s="10" t="n">
        <x:v>12</x:v>
      </x:c>
    </x:row>
    <x:row r="9" ht="100" customHeight="1">
      <x:c r="A9" s="9" t="str">
        <x:v>B04</x:v>
      </x:c>
      <x:c r="B9" s="9" t="str">
        <x:v>Download Qwen3.5 weights into AWS and archive in S3</x:v>
      </x:c>
      <x:c r="C9" s="9" t="str">
        <x:v>AWS environment, pinned foundation revision and aws_start scripts</x:v>
      </x:c>
      <x:c r="D9" s="9" t="str">
        <x:v>Run foundation_download.py on EC2 using the reviewed revision. Download safetensors, tokenizer, processor and config files to /srv/broadbridge/models; verify shards; hash all artifacts; copy the immutable revision folder to the private S3 model bucket. See AWS 3.</x:v>
      </x:c>
      <x:c r="E9" s="9" t="str">
        <x:v>Local model snapshot, SHA256 manifest and private S3 copy</x:v>
      </x:c>
      <x:c r="F9" s="9" t="str">
        <x:v>All weight shards and model/processor files exist; S3 copy count and sampled hashes reconcile; no proprietary source data sent to Hugging Face.</x:v>
      </x:c>
      <x:c r="G9" s="9" t="str">
        <x:v>Contracted implementation specialist</x:v>
      </x:c>
      <x:c r="H9" s="9" t="n">
        <x:v>12</x:v>
      </x:c>
    </x:row>
    <x:row r="10" ht="100" customHeight="1">
      <x:c r="A10" s="10" t="str">
        <x:v>B05</x:v>
      </x:c>
      <x:c r="B10" s="10" t="str">
        <x:v>Run the foundation model in AWS on text and images</x:v>
      </x:c>
      <x:c r="C10" s="10" t="str">
        <x:v>Pinned model and synthetic fixtures</x:v>
      </x:c>
      <x:c r="D10" s="10" t="str">
        <x:v>Run foundation_smoke.py with the local model snapshot and synthetic chart. Record text and image answers, memory and timing. Extend check to ordered two-image input and empty image list. Archive baseline outputs in S3. See AWS 4.</x:v>
      </x:c>
      <x:c r="E10" s="10" t="str">
        <x:v>baseline_smoke.json and compatibility_report.json</x:v>
      </x:c>
      <x:c r="F10" s="10" t="str">
        <x:v>No missing architecture or image-token errors; save peak memory and latency.</x:v>
      </x:c>
      <x:c r="G10" s="10" t="str">
        <x:v>Head of Product and AI</x:v>
      </x:c>
      <x:c r="H10" s="10" t="n">
        <x:v>12</x:v>
      </x:c>
    </x:row>
    <x:row r="11" ht="100" customHeight="1">
      <x:c r="A11" s="9" t="str">
        <x:v>B06</x:v>
      </x:c>
      <x:c r="B11" s="9" t="str">
        <x:v>Inspect adapter targets and loss masking</x:v>
      </x:c>
      <x:c r="C11" s="9" t="str">
        <x:v>Loaded model named modules and collator</x:v>
      </x:c>
      <x:c r="D11" s="9" t="str">
        <x:v>Select explicit language-layer projections; exclude visual encoder and projector; inspect one mixed batch and all label masks.</x:v>
      </x:c>
      <x:c r="E11" s="9" t="str">
        <x:v>target_modules.txt and mask_report.json</x:v>
      </x:c>
      <x:c r="F11" s="9" t="str">
        <x:v>Only intended LoRA weights are trainable; prompt/image/padding tokens have no supervised loss.</x:v>
      </x:c>
      <x:c r="G11" s="9" t="str">
        <x:v>Contracted implementation specialist</x:v>
      </x:c>
      <x:c r="H11" s="9" t="n">
        <x:v>14</x:v>
      </x:c>
    </x:row>
    <x:row r="12" ht="100" customHeight="1">
      <x:c r="A12" s="10" t="str">
        <x:v>B07</x:v>
      </x:c>
      <x:c r="B12" s="10" t="str">
        <x:v>Prove train save reload compatibility</x:v>
      </x:c>
      <x:c r="C12" s="10" t="str">
        <x:v>Two approved or synthetic examples</x:v>
      </x:c>
      <x:c r="D12" s="10" t="str">
        <x:v>Run ten optimizer steps on a fixture; save adapter and processor; reload with exact base; compare deterministic logits within agreed tolerance.</x:v>
      </x:c>
      <x:c r="E12" s="10" t="str">
        <x:v>smoke adapter and reload_report.json</x:v>
      </x:c>
      <x:c r="F12" s="10" t="str">
        <x:v>Finite loss, gradient updates, successful reload and reproducible outputs. Fixture is excluded from production data.</x:v>
      </x:c>
      <x:c r="G12" s="10" t="str">
        <x:v>Head of Product and AI</x:v>
      </x:c>
      <x:c r="H12" s="10" t="n">
        <x:v>14</x:v>
      </x:c>
    </x:row>
    <x:row r="13" ht="100" customHeight="1">
      <x:c r="A13" s="9" t="str">
        <x:v>A01</x:v>
      </x:c>
      <x:c r="B13" s="9" t="str">
        <x:v>Define three pilot workflows</x:v>
      </x:c>
      <x:c r="C13" s="9" t="str">
        <x:v>CTO plan and refining scope</x:v>
      </x:c>
      <x:c r="D13" s="9" t="str">
        <x:v>Specify evidence review, diagnostic brief and calculation support; list allowed users and excluded operating actions.</x:v>
      </x:c>
      <x:c r="E13" s="9" t="str">
        <x:v>charter.md and workflow list</x:v>
      </x:c>
      <x:c r="F13" s="9" t="str">
        <x:v>Technical Director accepts scope and prohibited actions.</x:v>
      </x:c>
      <x:c r="G13" s="9" t="str">
        <x:v>Technical Director</x:v>
      </x:c>
      <x:c r="H13" s="9" t="n">
        <x:v>1</x:v>
      </x:c>
    </x:row>
    <x:row r="14" ht="100" customHeight="1">
      <x:c r="A14" s="10" t="str">
        <x:v>A02</x:v>
      </x:c>
      <x:c r="B14" s="10" t="str">
        <x:v>Assign named delivery and review owners</x:v>
      </x:c>
      <x:c r="C14" s="10" t="str">
        <x:v>Seven-role organization and contracted support</x:v>
      </x:c>
      <x:c r="D14" s="10" t="str">
        <x:v>Protect the role hours; appoint separate content authors and reviewers; reserve parent security capacity.</x:v>
      </x:c>
      <x:c r="E14" s="10" t="str">
        <x:v>staffing.csv and reviewer roster</x:v>
      </x:c>
      <x:c r="F14" s="10" t="str">
        <x:v>Named owner and independent reviewer for each workstream.</x:v>
      </x:c>
      <x:c r="G14" s="10" t="str">
        <x:v>Head of Product and AI</x:v>
      </x:c>
      <x:c r="H14" s="10" t="n">
        <x:v>1</x:v>
      </x:c>
    </x:row>
    <x:row r="15" ht="100" customHeight="1">
      <x:c r="A15" s="9" t="str">
        <x:v>A03</x:v>
      </x:c>
      <x:c r="B15" s="9" t="str">
        <x:v>Measure current engineering workflow</x:v>
      </x:c>
      <x:c r="C15" s="9" t="str">
        <x:v>Representative internal engineering questions</x:v>
      </x:c>
      <x:c r="D15" s="9" t="str">
        <x:v>Time at least ten manually prepared briefs; record complexity, corrections and acceptance rubric before tool use.</x:v>
      </x:c>
      <x:c r="E15" s="9" t="str">
        <x:v>baseline_effort.csv</x:v>
      </x:c>
      <x:c r="F15" s="9" t="str">
        <x:v>Baseline includes review time and task mix; no fabricated ROI.</x:v>
      </x:c>
      <x:c r="G15" s="9" t="str">
        <x:v>Head of Product and AI</x:v>
      </x:c>
      <x:c r="H15" s="9" t="n">
        <x:v>18</x:v>
      </x:c>
    </x:row>
    <x:row r="16" ht="100" customHeight="1">
      <x:c r="A16" s="10" t="str">
        <x:v>A04</x:v>
      </x:c>
      <x:c r="B16" s="10" t="str">
        <x:v>Normalize all existing source leads</x:v>
      </x:c>
      <x:c r="C16" s="10" t="str">
        <x:v>32 general and 19 Norm source-register rows</x:v>
      </x:c>
      <x:c r="D16" s="10" t="str">
        <x:v>Retain original IDs; distinguish models, software, data, articles and catalogs; assign processing recipe and priority.</x:v>
      </x:c>
      <x:c r="E16" s="10" t="str">
        <x:v>source_register.csv</x:v>
      </x:c>
      <x:c r="F16" s="10" t="str">
        <x:v>All 51 prior rows mapped; catalogs remain acquisition leads.</x:v>
      </x:c>
      <x:c r="G16" s="10" t="str">
        <x:v>Managing Director</x:v>
      </x:c>
      <x:c r="H16" s="10" t="n">
        <x:v>3</x:v>
      </x:c>
    </x:row>
    <x:row r="17" ht="100" customHeight="1">
      <x:c r="A17" s="9" t="str">
        <x:v>A05</x:v>
      </x:c>
      <x:c r="B17" s="9" t="str">
        <x:v>Approve rights and data-use contract fields</x:v>
      </x:c>
      <x:c r="C17" s="9" t="str">
        <x:v>Candidate source terms and intended internal use</x:v>
      </x:c>
      <x:c r="D17" s="9" t="str">
        <x:v>Record acquisition, OCR, retrieval, SFT, evaluation, processor, retention and derived-weight permissions separately; resolve publisher and former-client rights.</x:v>
      </x:c>
      <x:c r="E17" s="9" t="str">
        <x:v>rights_ledger.jsonl and grant templates</x:v>
      </x:c>
      <x:c r="F17" s="9" t="str">
        <x:v>Every admitted use has evidence; unknown permissions remain held.</x:v>
      </x:c>
      <x:c r="G17" s="9" t="str">
        <x:v>Parent security lead</x:v>
      </x:c>
      <x:c r="H17" s="9" t="n">
        <x:v>3</x:v>
      </x:c>
    </x:row>
    <x:row r="18" ht="100" customHeight="1">
      <x:c r="A18" s="10" t="str">
        <x:v>A06</x:v>
      </x:c>
      <x:c r="B18" s="10" t="str">
        <x:v>Approve hosting and access architecture</x:v>
      </x:c>
      <x:c r="C18" s="10" t="str">
        <x:v>Data classes and expected GPU capacity</x:v>
      </x:c>
      <x:c r="D18" s="10" t="str">
        <x:v>Choose region and processors; separate quarantine, retrieval, training and evaluator identities; allow model-download egress only.</x:v>
      </x:c>
      <x:c r="E18" s="10" t="str">
        <x:v>environment_design.md</x:v>
      </x:c>
      <x:c r="F18" s="10" t="str">
        <x:v>Evaluator answer store cannot be read by trainer or production retriever.</x:v>
      </x:c>
      <x:c r="G18" s="10" t="str">
        <x:v>Head of Product and AI</x:v>
      </x:c>
      <x:c r="H18" s="10" t="n">
        <x:v>2</x:v>
      </x:c>
    </x:row>
    <x:row r="19" ht="100" customHeight="1">
      <x:c r="A19" s="9" t="str">
        <x:v>A07</x:v>
      </x:c>
      <x:c r="B19" s="9" t="str">
        <x:v>Create annotation and acceptance rubrics</x:v>
      </x:c>
      <x:c r="C19" s="9" t="str">
        <x:v>Launch questions and expert availability</x:v>
      </x:c>
      <x:c r="D19" s="9" t="str">
        <x:v>Define factual, visual, numeric and missing-evidence rubrics; fix critical-error definitions and review rules.</x:v>
      </x:c>
      <x:c r="E19" s="9" t="str">
        <x:v>rubrics_v1.json</x:v>
      </x:c>
      <x:c r="F19" s="9" t="str">
        <x:v>Two reviewers agree on trial labels and adjudication method.</x:v>
      </x:c>
      <x:c r="G19" s="9" t="str">
        <x:v>Contracted expert or independent reviewer</x:v>
      </x:c>
      <x:c r="H19" s="9" t="n">
        <x:v>8</x:v>
      </x:c>
    </x:row>
    <x:row r="20" ht="100" customHeight="1">
      <x:c r="A20" s="10" t="str">
        <x:v>G0</x:v>
      </x:c>
      <x:c r="B20" s="10" t="str">
        <x:v>G0 authorize baseline work</x:v>
      </x:c>
      <x:c r="C20" s="10" t="str">
        <x:v>Charter, rights route, staffing and environment design</x:v>
      </x:c>
      <x:c r="D20" s="10" t="str">
        <x:v>Record scope, spend limit, named owners and unresolved source holds.</x:v>
      </x:c>
      <x:c r="E20" s="10" t="str">
        <x:v>gate_G0.json</x:v>
      </x:c>
      <x:c r="F20" s="10" t="str">
        <x:v>Only cleared sources and approved environment may enter baseline work.</x:v>
      </x:c>
      <x:c r="G20" s="10" t="str">
        <x:v>Head of Product and AI</x:v>
      </x:c>
      <x:c r="H20" s="10" t="n">
        <x:v>1</x:v>
      </x:c>
    </x:row>
    <x:row r="21" ht="100" customHeight="1">
      <x:c r="A21" s="9" t="str">
        <x:v>C01</x:v>
      </x:c>
      <x:c r="B21" s="9" t="str">
        <x:v>Build intake manifest and quarantine handler</x:v>
      </x:c>
      <x:c r="C21" s="9" t="str">
        <x:v>Authorized source files and grants</x:v>
      </x:c>
      <x:c r="D21" s="9" t="str">
        <x:v>Compute asset SHA256, sniff MIME, scan in isolation, block macros, assign source and family IDs, record custody and parent attachments.</x:v>
      </x:c>
      <x:c r="E21" s="9" t="str">
        <x:v>intake_manifest.jsonl</x:v>
      </x:c>
      <x:c r="F21" s="9" t="str">
        <x:v>Repeated intake is idempotent; rejected or held assets cannot advance.</x:v>
      </x:c>
      <x:c r="G21" s="9" t="str">
        <x:v>Parent security lead</x:v>
      </x:c>
      <x:c r="H21" s="9" t="n">
        <x:v>4</x:v>
      </x:c>
    </x:row>
    <x:row r="22" ht="100" customHeight="1">
      <x:c r="A22" s="10" t="str">
        <x:v>C02</x:v>
      </x:c>
      <x:c r="B22" s="10" t="str">
        <x:v>Acquire first cleared document sample</x:v>
      </x:c>
      <x:c r="C22" s="10" t="str">
        <x:v>P01 P02 and authorized original expert sample</x:v>
      </x:c>
      <x:c r="D22" s="10" t="str">
        <x:v>Obtain exact official editions or authorized files; retain URL/date/edition and item-level notices; admit only cleared uses.</x:v>
      </x:c>
      <x:c r="E22" s="10" t="str">
        <x:v>initial raw batch and grant records</x:v>
      </x:c>
      <x:c r="F22" s="10" t="str">
        <x:v>Full documents present; no preview or search snippet presented as a complete work.</x:v>
      </x:c>
      <x:c r="G22" s="10" t="str">
        <x:v>Managing Director</x:v>
      </x:c>
      <x:c r="H22" s="10" t="n">
        <x:v>3</x:v>
      </x:c>
    </x:row>
    <x:row r="23" ht="100" customHeight="1">
      <x:c r="A23" s="9" t="str">
        <x:v>C03</x:v>
      </x:c>
      <x:c r="B23" s="9" t="str">
        <x:v>Implement digital PDF and HTML extraction</x:v>
      </x:c>
      <x:c r="C23" s="9" t="str">
        <x:v>Cleared digital PDF or HTML sample</x:v>
      </x:c>
      <x:c r="D23" s="9" t="str">
        <x:v>Use Docling or equivalent pinned parser; retain page/heading coordinates, table cells and captions; save JSON and Markdown views.</x:v>
      </x:c>
      <x:c r="E23" s="9" t="str">
        <x:v>documents.jsonl and figures</x:v>
      </x:c>
      <x:c r="F23" s="9" t="str">
        <x:v>Reading order and page coverage checked against originals.</x:v>
      </x:c>
      <x:c r="G23" s="9" t="str">
        <x:v>Knowledge Engineer</x:v>
      </x:c>
      <x:c r="H23" s="9" t="n">
        <x:v>5</x:v>
      </x:c>
    </x:row>
    <x:row r="24" ht="100" customHeight="1">
      <x:c r="A24" s="10" t="str">
        <x:v>C04</x:v>
      </x:c>
      <x:c r="B24" s="10" t="str">
        <x:v>Implement scan OCR and image extraction</x:v>
      </x:c>
      <x:c r="C24" s="10" t="str">
        <x:v>Scanned pages and engineering figure sample</x:v>
      </x:c>
      <x:c r="D24" s="10" t="str">
        <x:v>Render lossless page images near 300 dpi; orient/deskew a derivative; OCR; preserve original coordinates and transforms.</x:v>
      </x:c>
      <x:c r="E24" s="10" t="str">
        <x:v>page PNGs, regions.jsonl and OCR flags</x:v>
      </x:c>
      <x:c r="F24" s="10" t="str">
        <x:v>All critical values, units, subscripts and arrows independently checked; unreadable fields stay unknown.</x:v>
      </x:c>
      <x:c r="G24" s="10" t="str">
        <x:v>Process Applications Engineer</x:v>
      </x:c>
      <x:c r="H24" s="10" t="n">
        <x:v>5</x:v>
      </x:c>
    </x:row>
    <x:row r="25" ht="100" customHeight="1">
      <x:c r="A25" s="9" t="str">
        <x:v>C05</x:v>
      </x:c>
      <x:c r="B25" s="9" t="str">
        <x:v>Implement Word and slide extraction</x:v>
      </x:c>
      <x:c r="C25" s="9" t="str">
        <x:v>Authorized DOCX and PPTX work papers</x:v>
      </x:c>
      <x:c r="D25" s="9" t="str">
        <x:v>Extract paragraphs, tables, notes and image anchors; record revisions and slide IDs; do not accept tracked changes silently.</x:v>
      </x:c>
      <x:c r="E25" s="9" t="str">
        <x:v>normalized work-paper records</x:v>
      </x:c>
      <x:c r="F25" s="9" t="str">
        <x:v>Comments, notes and revisions are explicitly included or excluded by rule.</x:v>
      </x:c>
      <x:c r="G25" s="9" t="str">
        <x:v>Process Applications Engineer</x:v>
      </x:c>
      <x:c r="H25" s="9" t="n">
        <x:v>6</x:v>
      </x:c>
    </x:row>
    <x:row r="26" ht="100" customHeight="1">
      <x:c r="A26" s="10" t="str">
        <x:v>C06</x:v>
      </x:c>
      <x:c r="B26" s="10" t="str">
        <x:v>Implement engineering image annotation</x:v>
      </x:c>
      <x:c r="C26" s="10" t="str">
        <x:v>Approved PFD, P&amp;ID, sketch and trend examples</x:v>
      </x:c>
      <x:c r="D26" s="10" t="str">
        <x:v>Create overview plus bounded crops; label legibility, tags, units, values, arrows and connections; attach caption and scope.</x:v>
      </x:c>
      <x:c r="E26" s="10" t="str">
        <x:v>visual_labels.jsonl</x:v>
      </x:c>
      <x:c r="F26" s="10" t="str">
        <x:v>No inferred hidden connectivity; every label points to a visible region.</x:v>
      </x:c>
      <x:c r="G26" s="10" t="str">
        <x:v>Contracted expert or independent reviewer</x:v>
      </x:c>
      <x:c r="H26" s="10" t="n">
        <x:v>7</x:v>
      </x:c>
    </x:row>
    <x:row r="27" ht="100" customHeight="1">
      <x:c r="A27" s="9" t="str">
        <x:v>C07</x:v>
      </x:c>
      <x:c r="B27" s="9" t="str">
        <x:v>Implement email thread normalization</x:v>
      </x:c>
      <x:c r="C27" s="9" t="str">
        <x:v>Authorized EML or MBOX export and attachments</x:v>
      </x:c>
      <x:c r="D27" s="9" t="str">
        <x:v>Preserve Message-ID, replies, timezones and attachment relationships; deduplicate quotes; redact identities; separate question-time facts from later outcomes.</x:v>
      </x:c>
      <x:c r="E27" s="9" t="str">
        <x:v>threads.jsonl and attachment manifest</x:v>
      </x:c>
      <x:c r="F27" s="9" t="str">
        <x:v>Chronology retained; replies and third-party attachments receive separate permission review.</x:v>
      </x:c>
      <x:c r="G27" s="9" t="str">
        <x:v>Parent security lead</x:v>
      </x:c>
      <x:c r="H27" s="9" t="n">
        <x:v>6</x:v>
      </x:c>
    </x:row>
    <x:row r="28" ht="100" customHeight="1">
      <x:c r="A28" s="10" t="str">
        <x:v>C08</x:v>
      </x:c>
      <x:c r="B28" s="10" t="str">
        <x:v>Implement tabular operating-data conversion</x:v>
      </x:c>
      <x:c r="C28" s="10" t="str">
        <x:v>Authorized CSV XLSX or historian export</x:v>
      </x:c>
      <x:c r="D28" s="10" t="str">
        <x:v>Export values with units, timestamps, timezone and quality flags; preserve original formulas; distinguish gauge/absolute pressure and missing readings.</x:v>
      </x:c>
      <x:c r="E28" s="10" t="str">
        <x:v>measurements.parquet and data_dictionary.json</x:v>
      </x:c>
      <x:c r="F28" s="10" t="str">
        <x:v>Sampled values reconcile to original; no silent interpolation or unit conversion.</x:v>
      </x:c>
      <x:c r="G28" s="10" t="str">
        <x:v>Contracted expert or independent reviewer</x:v>
      </x:c>
      <x:c r="H28" s="10" t="n">
        <x:v>7</x:v>
      </x:c>
    </x:row>
    <x:row r="29" ht="100" customHeight="1">
      <x:c r="A29" s="9" t="str">
        <x:v>C09</x:v>
      </x:c>
      <x:c r="B29" s="9" t="str">
        <x:v>Implement interview transcription route</x:v>
      </x:c>
      <x:c r="C29" s="9" t="str">
        <x:v>Consented WAV MP3 MP4 interview sample</x:v>
      </x:c>
      <x:c r="D29" s="9" t="str">
        <x:v>Create timestamped transcript and speaker labels; verify technical terms with expert; select only instructional frames; link all derivatives to source time.</x:v>
      </x:c>
      <x:c r="E29" s="9" t="str">
        <x:v>segments.jsonl, transcript and selected PNGs</x:v>
      </x:c>
      <x:c r="F29" s="9" t="str">
        <x:v>Expert approves technical transcript; separate grants for recording, slides and reuse.</x:v>
      </x:c>
      <x:c r="G29" s="9" t="str">
        <x:v>Contracted expert or independent reviewer</x:v>
      </x:c>
      <x:c r="H29" s="9" t="n">
        <x:v>6</x:v>
      </x:c>
    </x:row>
    <x:row r="30" ht="100" customHeight="1">
      <x:c r="A30" s="10" t="str">
        <x:v>C10</x:v>
      </x:c>
      <x:c r="B30" s="10" t="str">
        <x:v>Normalize text tables equations and units</x:v>
      </x:c>
      <x:c r="C30" s="10" t="str">
        <x:v>Extracted documents and measurements</x:v>
      </x:c>
      <x:c r="D30" s="10" t="str">
        <x:v>Normalize Unicode and whitespace conservatively; keep raw text; represent tables with row/column headers and equations with variable definitions.</x:v>
      </x:c>
      <x:c r="E30" s="10" t="str">
        <x:v>canonical evidence records</x:v>
      </x:c>
      <x:c r="F30" s="10" t="str">
        <x:v>Decimal signs, inequalities, exponents, units and footnotes reconcile; failed regions quarantined.</x:v>
      </x:c>
      <x:c r="G30" s="10" t="str">
        <x:v>Contracted expert or independent reviewer</x:v>
      </x:c>
      <x:c r="H30" s="10" t="n">
        <x:v>8</x:v>
      </x:c>
    </x:row>
    <x:row r="31" ht="100" customHeight="1">
      <x:c r="A31" s="9" t="str">
        <x:v>C11</x:v>
      </x:c>
      <x:c r="B31" s="9" t="str">
        <x:v>Add deduplication and case-family grouping</x:v>
      </x:c>
      <x:c r="C31" s="9" t="str">
        <x:v>Asset hashes, text and attachment links</x:v>
      </x:c>
      <x:c r="D31" s="9" t="str">
        <x:v>Detect exact duplicates and near duplicates; group republished articles, revisions, email replies, crops and synthetic variants into one family.</x:v>
      </x:c>
      <x:c r="E31" s="9" t="str">
        <x:v>family_manifest.jsonl</x:v>
      </x:c>
      <x:c r="F31" s="9" t="str">
        <x:v>Known duplicate pairs stay together; similarity hits reviewed rather than deleted blindly.</x:v>
      </x:c>
      <x:c r="G31" s="9" t="str">
        <x:v>Knowledge Engineer</x:v>
      </x:c>
      <x:c r="H31" s="9" t="n">
        <x:v>8</x:v>
      </x:c>
    </x:row>
    <x:row r="32" ht="100" customHeight="1">
      <x:c r="A32" s="10" t="str">
        <x:v>C12</x:v>
      </x:c>
      <x:c r="B32" s="10" t="str">
        <x:v>Create batch audit and retry controls</x:v>
      </x:c>
      <x:c r="C32" s="10" t="str">
        <x:v>Extraction results and failures</x:v>
      </x:c>
      <x:c r="D32" s="10" t="str">
        <x:v>Record parser/model revision, state, failure reason and output hashes; retry only changed or failed assets; keep held rows out of downstream exports.</x:v>
      </x:c>
      <x:c r="E32" s="10" t="str">
        <x:v>batch_audit.jsonl and rejection queue</x:v>
      </x:c>
      <x:c r="F32" s="10" t="str">
        <x:v>Reprocessing unchanged input produces no duplicate evidence or training records.</x:v>
      </x:c>
      <x:c r="G32" s="10" t="str">
        <x:v>Applied AI Engineer</x:v>
      </x:c>
      <x:c r="H32" s="10" t="n">
        <x:v>4</x:v>
      </x:c>
    </x:row>
    <x:row r="33" ht="100" customHeight="1">
      <x:c r="A33" s="9" t="str">
        <x:v>D01</x:v>
      </x:c>
      <x:c r="B33" s="9" t="str">
        <x:v>Author first original expert cases</x:v>
      </x:c>
      <x:c r="C33" s="9" t="str">
        <x:v>Cleared expert interviews or authored notes</x:v>
      </x:c>
      <x:c r="D33" s="9" t="str">
        <x:v>Capture symptom, regime, question-time evidence, alternatives, discriminating checks, outcome and limitations; get author sign-off.</x:v>
      </x:c>
      <x:c r="E33" s="9" t="str">
        <x:v>case packets batch 1</x:v>
      </x:c>
      <x:c r="F33" s="9" t="str">
        <x:v>No client identifiers or restricted source text without explicit clearance.</x:v>
      </x:c>
      <x:c r="G33" s="9" t="str">
        <x:v>Contracted expert or independent reviewer</x:v>
      </x:c>
      <x:c r="H33" s="9" t="n">
        <x:v>9</x:v>
      </x:c>
    </x:row>
    <x:row r="34" ht="100" customHeight="1">
      <x:c r="A34" s="10" t="str">
        <x:v>D02</x:v>
      </x:c>
      <x:c r="B34" s="10" t="str">
        <x:v>Freeze initial family splits</x:v>
      </x:c>
      <x:c r="C34" s="10" t="str">
        <x:v>Family manifest and case inventory</x:v>
      </x:c>
      <x:c r="D34" s="10" t="str">
        <x:v>Assign families to train/dev/test before variants; allocate evaluator-only answer access; tag all child assets with inherited split.</x:v>
      </x:c>
      <x:c r="E34" s="10" t="str">
        <x:v>split_manifest_v1.jsonl</x:v>
      </x:c>
      <x:c r="F34" s="10" t="str">
        <x:v>No family crosses splits; test-family answers absent from trainer and retrieval.</x:v>
      </x:c>
      <x:c r="G34" s="10" t="str">
        <x:v>Contracted expert or independent reviewer</x:v>
      </x:c>
      <x:c r="H34" s="10" t="n">
        <x:v>9</x:v>
      </x:c>
    </x:row>
    <x:row r="35" ht="100" customHeight="1">
      <x:c r="A35" s="9" t="str">
        <x:v>D03</x:v>
      </x:c>
      <x:c r="B35" s="9" t="str">
        <x:v>Build first 400 reviewed SFT examples</x:v>
      </x:c>
      <x:c r="C35" s="9" t="str">
        <x:v>Training families and structured evidence</x:v>
      </x:c>
      <x:c r="D35" s="9" t="str">
        <x:v>Write 300 text and 100 visual prompt/completion records; attach evidence; check answer visibility and reviewer provenance.</x:v>
      </x:c>
      <x:c r="E35" s="9" t="str">
        <x:v>train_v0.jsonl and linked PNGs</x:v>
      </x:c>
      <x:c r="F35" s="9" t="str">
        <x:v>400 accepted records; every image resolves and every answer has review evidence.</x:v>
      </x:c>
      <x:c r="G35" s="9" t="str">
        <x:v>Contracted expert or independent reviewer</x:v>
      </x:c>
      <x:c r="H35" s="9" t="n">
        <x:v>10</x:v>
      </x:c>
    </x:row>
    <x:row r="36" ht="100" customHeight="1">
      <x:c r="A36" s="10" t="str">
        <x:v>D04</x:v>
      </x:c>
      <x:c r="B36" s="10" t="str">
        <x:v>Build baseline development questions</x:v>
      </x:c>
      <x:c r="C36" s="10" t="str">
        <x:v>Development families and rubric</x:v>
      </x:c>
      <x:c r="D36" s="10" t="str">
        <x:v>Create tasks from 20 dev families; separate prompts, references and scoring keys; ensure visual/text paired comparisons.</x:v>
      </x:c>
      <x:c r="E36" s="10" t="str">
        <x:v>dev_v0 and gold answers</x:v>
      </x:c>
      <x:c r="F36" s="10" t="str">
        <x:v>No development example enters SFT; task mix documented.</x:v>
      </x:c>
      <x:c r="G36" s="10" t="str">
        <x:v>Contracted expert or independent reviewer</x:v>
      </x:c>
      <x:c r="H36" s="10" t="n">
        <x:v>16</x:v>
      </x:c>
    </x:row>
    <x:row r="37" ht="100" customHeight="1">
      <x:c r="A37" s="9" t="str">
        <x:v>E01</x:v>
      </x:c>
      <x:c r="B37" s="9" t="str">
        <x:v>Build evidence chunks and citation mapping</x:v>
      </x:c>
      <x:c r="C37" s="9" t="str">
        <x:v>Canonical cleared evidence</x:v>
      </x:c>
      <x:c r="D37" s="9" t="str">
        <x:v>Split by section at proposed 400-800 tokenizer tokens; retain table/caption integrity, parent references, page regions, family and access metadata.</x:v>
      </x:c>
      <x:c r="E37" s="9" t="str">
        <x:v>chunks.jsonl</x:v>
      </x:c>
      <x:c r="F37" s="9" t="str">
        <x:v>Every chunk resolves to an authorized original and has deterministic ID.</x:v>
      </x:c>
      <x:c r="G37" s="9" t="str">
        <x:v>Knowledge Engineer</x:v>
      </x:c>
      <x:c r="H37" s="9" t="n">
        <x:v>11</x:v>
      </x:c>
    </x:row>
    <x:row r="38" ht="100" customHeight="1">
      <x:c r="A38" s="10" t="str">
        <x:v>E02</x:v>
      </x:c>
      <x:c r="B38" s="10" t="str">
        <x:v>Load lexical and vector retrieval index</x:v>
      </x:c>
      <x:c r="C38" s="10" t="str">
        <x:v>Approved chunks and pinned embedding model</x:v>
      </x:c>
      <x:c r="D38" s="10" t="str">
        <x:v>Download and hash pinned Qwen3-Embedding-0.6B and Qwen3-Reranker-0.6B snapshots to AWS. Embed approved text; store vectors with model revision/dimension; create lexical index; apply access and split filters before candidates.</x:v>
      </x:c>
      <x:c r="E38" s="10" t="str">
        <x:v>retrieval index v0</x:v>
      </x:c>
      <x:c r="F38" s="10" t="str">
        <x:v>Known positives retrievable and unauthorized or test-answer chunks excluded.</x:v>
      </x:c>
      <x:c r="G38" s="10" t="str">
        <x:v>Parent security lead</x:v>
      </x:c>
      <x:c r="H38" s="10" t="n">
        <x:v>11</x:v>
      </x:c>
    </x:row>
    <x:row r="39" ht="100" customHeight="1">
      <x:c r="A39" s="9" t="str">
        <x:v>E03</x:v>
      </x:c>
      <x:c r="B39" s="9" t="str">
        <x:v>Create first validated calculation tools</x:v>
      </x:c>
      <x:c r="C39" s="9" t="str">
        <x:v>Selected property and unit operations</x:v>
      </x:c>
      <x:c r="D39" s="9" t="str">
        <x:v>Implement typed unit conversion and one bounded balance/property tool; validate independent values and out-of-range errors; record tool version.</x:v>
      </x:c>
      <x:c r="E39" s="9" t="str">
        <x:v>tool schemas and reference fixtures</x:v>
      </x:c>
      <x:c r="F39" s="9" t="str">
        <x:v>Golden values within preset tolerance; wrong units and unsupported fluids rejected.</x:v>
      </x:c>
      <x:c r="G39" s="9" t="str">
        <x:v>Contracted expert or independent reviewer</x:v>
      </x:c>
      <x:c r="H39" s="9" t="n">
        <x:v>11</x:v>
      </x:c>
    </x:row>
    <x:row r="40" ht="100" customHeight="1">
      <x:c r="A40" s="10" t="str">
        <x:v>G1</x:v>
      </x:c>
      <x:c r="B40" s="10" t="str">
        <x:v>G1 accept working baseline</x:v>
      </x:c>
      <x:c r="C40" s="10" t="str">
        <x:v>First 400 examples, compatibility report and evidence index</x:v>
      </x:c>
      <x:c r="D40" s="10" t="str">
        <x:v>Review baseline readiness and checked tool availability; approve paired vision benchmark.</x:v>
      </x:c>
      <x:c r="E40" s="10" t="str">
        <x:v>gate_G1.json</x:v>
      </x:c>
      <x:c r="F40" s="10" t="str">
        <x:v>Model loads/trains/reloads; corpus and test segregation work; E03 completed.</x:v>
      </x:c>
      <x:c r="G40" s="10" t="str">
        <x:v>Technical Director</x:v>
      </x:c>
      <x:c r="H40" s="10" t="n">
        <x:v>1</x:v>
      </x:c>
    </x:row>
    <x:row r="41" ht="100" customHeight="1">
      <x:c r="A41" s="9" t="str">
        <x:v>E04</x:v>
      </x:c>
      <x:c r="B41" s="9" t="str">
        <x:v>Benchmark retrieval and tune chunk policy</x:v>
      </x:c>
      <x:c r="C41" s="9" t="str">
        <x:v>Engineer-labeled evidence queries</x:v>
      </x:c>
      <x:c r="D41" s="9" t="str">
        <x:v>Measure recall at 20 candidates; test 400/600/800 token chunks and overlaps on dev data; use same settings across model comparisons.</x:v>
      </x:c>
      <x:c r="E41" s="9" t="str">
        <x:v>retrieval_eval.csv and frozen policy</x:v>
      </x:c>
      <x:c r="F41" s="9" t="str">
        <x:v>Proposed 90% recall@20 target assessed with denominators; missing evidence investigated.</x:v>
      </x:c>
      <x:c r="G41" s="9" t="str">
        <x:v>Process Applications Engineer</x:v>
      </x:c>
      <x:c r="H41" s="9" t="n">
        <x:v>11</x:v>
      </x:c>
    </x:row>
    <x:row r="42" ht="100" customHeight="1">
      <x:c r="A42" s="10" t="str">
        <x:v>E05</x:v>
      </x:c>
      <x:c r="B42" s="10" t="str">
        <x:v>Add reranker and evidence packaging</x:v>
      </x:c>
      <x:c r="C42" s="10" t="str">
        <x:v>Permitted retrieval candidates and M06</x:v>
      </x:c>
      <x:c r="D42" s="10" t="str">
        <x:v>Rerank only authorized candidates; select top evidence within token budget; retain image region links and cited IDs.</x:v>
      </x:c>
      <x:c r="E42" s="10" t="str">
        <x:v>context_pack schema and baseline</x:v>
      </x:c>
      <x:c r="F42" s="10" t="str">
        <x:v>Citations resolve; forbidden candidates cannot enter reranker or output.</x:v>
      </x:c>
      <x:c r="G42" s="10" t="str">
        <x:v>Parent security lead</x:v>
      </x:c>
      <x:c r="H42" s="10" t="n">
        <x:v>11</x:v>
      </x:c>
    </x:row>
    <x:row r="43" ht="100" customHeight="1">
      <x:c r="A43" s="9" t="str">
        <x:v>E06</x:v>
      </x:c>
      <x:c r="B43" s="9" t="str">
        <x:v>Test revocation and index versioning</x:v>
      </x:c>
      <x:c r="C43" s="9" t="str">
        <x:v>Grant expiry fixture and indexed copies</x:v>
      </x:c>
      <x:c r="D43" s="9" t="str">
        <x:v>Revoke one source; remove text, vectors, images and cached contexts; verify old release is not served to unauthorized users.</x:v>
      </x:c>
      <x:c r="E43" s="9" t="str">
        <x:v>revocation_report.json</x:v>
      </x:c>
      <x:c r="F43" s="9" t="str">
        <x:v>Zero retrieval hits or cache leaks from revoked grant under tested identities.</x:v>
      </x:c>
      <x:c r="G43" s="9" t="str">
        <x:v>Parent security lead</x:v>
      </x:c>
      <x:c r="H43" s="9" t="n">
        <x:v>11</x:v>
      </x:c>
    </x:row>
    <x:row r="44" ht="100" customHeight="1">
      <x:c r="A44" s="10" t="str">
        <x:v>F01</x:v>
      </x:c>
      <x:c r="B44" s="10" t="str">
        <x:v>Compare text OCR and native vision</x:v>
      </x:c>
      <x:c r="C44" s="10" t="str">
        <x:v>Paired development questions and untuned models</x:v>
      </x:c>
      <x:c r="D44" s="10" t="str">
        <x:v>Run Qwen3-8B text, Qwen3.5 text/OCR and Qwen3.5 image paths with identical evidence and tools; blind and counterbalance review.</x:v>
      </x:c>
      <x:c r="E44" s="10" t="str">
        <x:v>baseline_predictions.jsonl and paired scores</x:v>
      </x:c>
      <x:c r="F44" s="10" t="str">
        <x:v>Record quality, critical errors, timing, GPU memory and cost; isolate image contribution.</x:v>
      </x:c>
      <x:c r="G44" s="10" t="str">
        <x:v>Contracted expert or independent reviewer</x:v>
      </x:c>
      <x:c r="H44" s="10" t="n">
        <x:v>16</x:v>
      </x:c>
    </x:row>
    <x:row r="45" ht="100" customHeight="1">
      <x:c r="A45" s="9" t="str">
        <x:v>F02</x:v>
      </x:c>
      <x:c r="B45" s="9" t="str">
        <x:v>Decide model and visual scope</x:v>
      </x:c>
      <x:c r="C45" s="9" t="str">
        <x:v>Paired results and compatibility evidence</x:v>
      </x:c>
      <x:c r="D45" s="9" t="str">
        <x:v>Retain native vision only with supported quality or review-time gain; record selected model revision, accepted visual types and fallback.</x:v>
      </x:c>
      <x:c r="E45" s="9" t="str">
        <x:v>architecture_decision.md</x:v>
      </x:c>
      <x:c r="F45" s="9" t="str">
        <x:v>Five-point acceptance or 15% review-time improvement is supported; inconclusive results narrow scope.</x:v>
      </x:c>
      <x:c r="G45" s="9" t="str">
        <x:v>Technical Director</x:v>
      </x:c>
      <x:c r="H45" s="9" t="n">
        <x:v>16</x:v>
      </x:c>
    </x:row>
    <x:row r="46" ht="100" customHeight="1">
      <x:c r="A46" s="10" t="str">
        <x:v>G2</x:v>
      </x:c>
      <x:c r="B46" s="10" t="str">
        <x:v>G2 authorize adaptation tranche</x:v>
      </x:c>
      <x:c r="C46" s="10" t="str">
        <x:v>Architecture decision and refreshed forecast</x:v>
      </x:c>
      <x:c r="D46" s="10" t="str">
        <x:v>Approve remaining spend and exact selected scope; defer unsupported image tasks.</x:v>
      </x:c>
      <x:c r="E46" s="10" t="str">
        <x:v>gate_G2.json</x:v>
      </x:c>
      <x:c r="F46" s="10" t="str">
        <x:v>Rights, staffing and evidence justify continuation.</x:v>
      </x:c>
      <x:c r="G46" s="10" t="str">
        <x:v>Head of Product and AI</x:v>
      </x:c>
      <x:c r="H46" s="10" t="n">
        <x:v>1</x:v>
      </x:c>
    </x:row>
    <x:row r="47" ht="100" customHeight="1">
      <x:c r="A47" s="9" t="str">
        <x:v>D05</x:v>
      </x:c>
      <x:c r="B47" s="9" t="str">
        <x:v>Acquire and admit production source batches</x:v>
      </x:c>
      <x:c r="C47" s="9" t="str">
        <x:v>Prioritized cleared source list</x:v>
      </x:c>
      <x:c r="D47" s="9" t="str">
        <x:v>Process launch documents and expert packets in weekly batches; follow the source routing sheet; keep excluded datasets out.</x:v>
      </x:c>
      <x:c r="E47" s="9" t="str">
        <x:v>weekly intake batches</x:v>
      </x:c>
      <x:c r="F47" s="9" t="str">
        <x:v>Coverage grows without converting catalog leads or uncleared previews into content.</x:v>
      </x:c>
      <x:c r="G47" s="9" t="str">
        <x:v>Managing Director</x:v>
      </x:c>
      <x:c r="H47" s="9" t="n">
        <x:v>3</x:v>
      </x:c>
    </x:row>
    <x:row r="48" ht="100" customHeight="1">
      <x:c r="A48" s="10" t="str">
        <x:v>D06</x:v>
      </x:c>
      <x:c r="B48" s="10" t="str">
        <x:v>Expand and reconcile 300 case families</x:v>
      </x:c>
      <x:c r="C48" s="10" t="str">
        <x:v>Accepted evidence and expert-authored incidents</x:v>
      </x:c>
      <x:c r="D48" s="10" t="str">
        <x:v>Assemble 180 train, 60 dev and 60 test families; track equipment and visual coverage; keep scenario variants within parent family.</x:v>
      </x:c>
      <x:c r="E48" s="10" t="str">
        <x:v>family_manifest_v2.jsonl</x:v>
      </x:c>
      <x:c r="F48" s="10" t="str">
        <x:v>300 independent families supported by provenance; at least 90 train and 30 each dev/test have usable visual evidence.</x:v>
      </x:c>
      <x:c r="G48" s="10" t="str">
        <x:v>Contracted expert or independent reviewer</x:v>
      </x:c>
      <x:c r="H48" s="10" t="n">
        <x:v>9</x:v>
      </x:c>
    </x:row>
    <x:row r="49" ht="100" customHeight="1">
      <x:c r="A49" s="9" t="str">
        <x:v>D07</x:v>
      </x:c>
      <x:c r="B49" s="9" t="str">
        <x:v>Author remaining 1600 examples</x:v>
      </x:c>
      <x:c r="C49" s="9" t="str">
        <x:v>Approved training families</x:v>
      </x:c>
      <x:c r="D49" s="9" t="str">
        <x:v>Add 1200 text and 400 image/text records to initial batch; follow diagnostic, clarification, tool, grounding and escalation quotas.</x:v>
      </x:c>
      <x:c r="E49" s="9" t="str">
        <x:v>train_v1.jsonl</x:v>
      </x:c>
      <x:c r="F49" s="9" t="str">
        <x:v>Final 1500 text and 500 visual examples; every answer has evidence and independent review.</x:v>
      </x:c>
      <x:c r="G49" s="9" t="str">
        <x:v>Contracted expert or independent reviewer</x:v>
      </x:c>
      <x:c r="H49" s="9" t="n">
        <x:v>10</x:v>
      </x:c>
    </x:row>
    <x:row r="50" ht="100" customHeight="1">
      <x:c r="A50" s="10" t="str">
        <x:v>D08</x:v>
      </x:c>
      <x:c r="B50" s="10" t="str">
        <x:v>Build full development and locked suites</x:v>
      </x:c>
      <x:c r="C50" s="10" t="str">
        <x:v>60 dev families and 60 locked test families</x:v>
      </x:c>
      <x:c r="D50" s="10" t="str">
        <x:v>Create 120 locked case tasks and 180 challenge prompts; keep gold evaluator-only; tag task subtype and tolerances.</x:v>
      </x:c>
      <x:c r="E50" s="10" t="str">
        <x:v>dev_v1 and sealed test v1</x:v>
      </x:c>
      <x:c r="F50" s="10" t="str">
        <x:v>Test suite families disjoint; challenge prompts distinguished from independent incidents.</x:v>
      </x:c>
      <x:c r="G50" s="10" t="str">
        <x:v>Contracted expert or independent reviewer</x:v>
      </x:c>
      <x:c r="H50" s="10" t="n">
        <x:v>16</x:v>
      </x:c>
    </x:row>
    <x:row r="51" ht="100" customHeight="1">
      <x:c r="A51" s="9" t="str">
        <x:v>D09</x:v>
      </x:c>
      <x:c r="B51" s="9" t="str">
        <x:v>Audit data rights lineage and contamination</x:v>
      </x:c>
      <x:c r="C51" s="9" t="str">
        <x:v>Final manifests and all derivative IDs</x:v>
      </x:c>
      <x:c r="D51" s="9" t="str">
        <x:v>Check grants, review states, exact/near duplicates and answer phrases against retrieval and prompts; trace teacher generation sources.</x:v>
      </x:c>
      <x:c r="E51" s="9" t="str">
        <x:v>dataset_audit.json and release manifest</x:v>
      </x:c>
      <x:c r="F51" s="9" t="str">
        <x:v>No unauthorized use or cross-split family; rejected records listed with reason.</x:v>
      </x:c>
      <x:c r="G51" s="9" t="str">
        <x:v>Parent security lead</x:v>
      </x:c>
      <x:c r="H51" s="9" t="n">
        <x:v>9</x:v>
      </x:c>
    </x:row>
    <x:row r="52" ht="100" customHeight="1">
      <x:c r="A52" s="10" t="str">
        <x:v>D10</x:v>
      </x:c>
      <x:c r="B52" s="10" t="str">
        <x:v>Package portable SFT datasets</x:v>
      </x:c>
      <x:c r="C52" s="10" t="str">
        <x:v>Accepted JSONL and local images</x:v>
      </x:c>
      <x:c r="D52" s="10" t="str">
        <x:v>Validate schema, materialize image paths, create Hugging Face runtime rows; strip governance metadata from model inputs; hash export.</x:v>
      </x:c>
      <x:c r="E52" s="10" t="str">
        <x:v>train/dev release and dataset_card.md</x:v>
      </x:c>
      <x:c r="F52" s="10" t="str">
        <x:v>Images and placeholders match; no remote URL fetch; frozen test data not mounted on training host.</x:v>
      </x:c>
      <x:c r="G52" s="10" t="str">
        <x:v>Knowledge Engineer</x:v>
      </x:c>
      <x:c r="H52" s="10" t="n">
        <x:v>10</x:v>
      </x:c>
    </x:row>
    <x:row r="53" ht="100" customHeight="1">
      <x:c r="A53" s="9" t="str">
        <x:v>F03</x:v>
      </x:c>
      <x:c r="B53" s="9" t="str">
        <x:v>Implement processor and token preflight</x:v>
      </x:c>
      <x:c r="C53" s="9" t="str">
        <x:v>Selected model processor and pilot examples</x:v>
      </x:c>
      <x:c r="D53" s="9" t="str">
        <x:v>Use shipped chat template; check prefix masks and image tokens; count full processed length; reject records beyond 8192-token proposal.</x:v>
      </x:c>
      <x:c r="E53" s="9" t="str">
        <x:v>preflight_report.json</x:v>
      </x:c>
      <x:c r="F53" s="9" t="str">
        <x:v>No silent truncation; supervised labels only on approved answer tokens.</x:v>
      </x:c>
      <x:c r="G53" s="9" t="str">
        <x:v>Contracted implementation specialist</x:v>
      </x:c>
      <x:c r="H53" s="9" t="n">
        <x:v>13</x:v>
      </x:c>
    </x:row>
    <x:row r="54" ht="100" customHeight="1">
      <x:c r="A54" s="10" t="str">
        <x:v>F04</x:v>
      </x:c>
      <x:c r="B54" s="10" t="str">
        <x:v>Set training configuration and tracking</x:v>
      </x:c>
      <x:c r="C54" s="10" t="str">
        <x:v>Train compatibility and memory profile</x:v>
      </x:c>
      <x:c r="D54" s="10" t="str">
        <x:v>Start BF16 LoRA rank 16, alpha 32, one epoch, LR5e-5; freeze visual encoder; set batch 1 accumulation 16 seed 17 and spend limit.</x:v>
      </x:c>
      <x:c r="E54" s="10" t="str">
        <x:v>run_config.json and run tracker</x:v>
      </x:c>
      <x:c r="F54" s="10" t="str">
        <x:v>Config includes base/processor/data hashes, explicit module list and observed effective batch.</x:v>
      </x:c>
      <x:c r="G54" s="10" t="str">
        <x:v>Applied AI Engineer</x:v>
      </x:c>
      <x:c r="H54" s="10" t="n">
        <x:v>14</x:v>
      </x:c>
    </x:row>
    <x:row r="55" ht="100" customHeight="1">
      <x:c r="A55" s="9" t="str">
        <x:v>F05</x:v>
      </x:c>
      <x:c r="B55" s="9" t="str">
        <x:v>Run pilot adapter learning curve</x:v>
      </x:c>
      <x:c r="C55" s="9" t="str">
        <x:v>First approved 400 examples and dev set</x:v>
      </x:c>
      <x:c r="D55" s="9" t="str">
        <x:v>Train on 100/200/400 record subsets grouped by family; compare held-out dev quality and runtime; inspect failures and memorized passages.</x:v>
      </x:c>
      <x:c r="E55" s="9" t="str">
        <x:v>learning_curve.csv and pilot adapters</x:v>
      </x:c>
      <x:c r="F55" s="9" t="str">
        <x:v>Stop on NaN, leakage, loss-mask errors or critical regression; do not use locked tests.</x:v>
      </x:c>
      <x:c r="G55" s="9" t="str">
        <x:v>Technical Director</x:v>
      </x:c>
      <x:c r="H55" s="9" t="n">
        <x:v>14</x:v>
      </x:c>
    </x:row>
    <x:row r="56" ht="100" customHeight="1">
      <x:c r="A56" s="10" t="str">
        <x:v>F06</x:v>
      </x:c>
      <x:c r="B56" s="10" t="str">
        <x:v>Tune bounded development configurations</x:v>
      </x:c>
      <x:c r="C56" s="10" t="str">
        <x:v>Pilot findings and expanding approved data</x:v>
      </x:c>
      <x:c r="D56" s="10" t="str">
        <x:v>Compare ranks 16/32 and LR5e-5/1e-4; at most eight configs per finalist; retain text-only and untuned controls.</x:v>
      </x:c>
      <x:c r="E56" s="10" t="str">
        <x:v>experiment register and candidate recipe</x:v>
      </x:c>
      <x:c r="F56" s="10" t="str">
        <x:v>Selection based on dev quality, effort and critical errors; not training loss alone.</x:v>
      </x:c>
      <x:c r="G56" s="10" t="str">
        <x:v>Head of Product and AI</x:v>
      </x:c>
      <x:c r="H56" s="10" t="n">
        <x:v>14</x:v>
      </x:c>
    </x:row>
    <x:row r="57" ht="100" customHeight="1">
      <x:c r="A57" s="9" t="str">
        <x:v>F07</x:v>
      </x:c>
      <x:c r="B57" s="9" t="str">
        <x:v>Train final adapter and seed repeats</x:v>
      </x:c>
      <x:c r="C57" s="9" t="str">
        <x:v>Frozen 2000-example release and selected recipe</x:v>
      </x:c>
      <x:c r="D57" s="9" t="str">
        <x:v>Train selected mixed model and text-adapter control; repeat finalist seeds; preserve checkpoints and budget/quality logs.</x:v>
      </x:c>
      <x:c r="E57" s="9" t="str">
        <x:v>candidate adapter and seed results</x:v>
      </x:c>
      <x:c r="F57" s="9" t="str">
        <x:v>No held-out reuse; exact inputs and settings reconstruct each run.</x:v>
      </x:c>
      <x:c r="G57" s="9" t="str">
        <x:v>Technical Director</x:v>
      </x:c>
      <x:c r="H57" s="9" t="n">
        <x:v>14</x:v>
      </x:c>
    </x:row>
    <x:row r="58" ht="100" customHeight="1">
      <x:c r="A58" s="10" t="str">
        <x:v>F08</x:v>
      </x:c>
      <x:c r="B58" s="10" t="str">
        <x:v>Export reload and compare tuned candidate</x:v>
      </x:c>
      <x:c r="C58" s="10" t="str">
        <x:v>Final adapter and pinned base</x:v>
      </x:c>
      <x:c r="D58" s="10" t="str">
        <x:v>Save adapter safetensors/config and processor; reload in fresh environment; compare to untuned same-input model on dev.</x:v>
      </x:c>
      <x:c r="E58" s="10" t="str">
        <x:v>candidate_manifest.json and adapter report</x:v>
      </x:c>
      <x:c r="F58" s="10" t="str">
        <x:v>Tuning gain meets proposal or release keeps untuned baseline; memory and latency recorded.</x:v>
      </x:c>
      <x:c r="G58" s="10" t="str">
        <x:v>Head of Product and AI</x:v>
      </x:c>
      <x:c r="H58" s="10" t="n">
        <x:v>15</x:v>
      </x:c>
    </x:row>
    <x:row r="59" ht="100" customHeight="1">
      <x:c r="A59" s="9" t="str">
        <x:v>G3</x:v>
      </x:c>
      <x:c r="B59" s="9" t="str">
        <x:v>G3 freeze release candidate</x:v>
      </x:c>
      <x:c r="C59" s="9" t="str">
        <x:v>Reproducible model, corpus, tools and development report</x:v>
      </x:c>
      <x:c r="D59" s="9" t="str">
        <x:v>Freeze all release versions and commit candidate to independent evaluation.</x:v>
      </x:c>
      <x:c r="E59" s="9" t="str">
        <x:v>gate_G3.json</x:v>
      </x:c>
      <x:c r="F59" s="9" t="str">
        <x:v>2000 approved examples and 300 family manifest reconcile; no open critical development defect.</x:v>
      </x:c>
      <x:c r="G59" s="9" t="str">
        <x:v>Technical Director</x:v>
      </x:c>
      <x:c r="H59" s="9" t="n">
        <x:v>1</x:v>
      </x:c>
    </x:row>
    <x:row r="60" ht="100" customHeight="1">
      <x:c r="A60" s="10" t="str">
        <x:v>H01</x:v>
      </x:c>
      <x:c r="B60" s="10" t="str">
        <x:v>Build internal evidence review interface</x:v>
      </x:c>
      <x:c r="C60" s="10" t="str">
        <x:v>Context pack and brief schema</x:v>
      </x:c>
      <x:c r="D60" s="10" t="str">
        <x:v>Show source passage/image crop beside editable extracted facts and brief; capture acceptance, corrections and escalation reason.</x:v>
      </x:c>
      <x:c r="E60" s="10" t="str">
        <x:v>review UI build</x:v>
      </x:c>
      <x:c r="F60" s="10" t="str">
        <x:v>Reviewers can verify every cited source and correct misread values before accepting.</x:v>
      </x:c>
      <x:c r="G60" s="10" t="str">
        <x:v>Process Applications Engineer</x:v>
      </x:c>
      <x:c r="H60" s="10" t="n">
        <x:v>17</x:v>
      </x:c>
    </x:row>
    <x:row r="61" ht="100" customHeight="1">
      <x:c r="A61" s="9" t="str">
        <x:v>H02</x:v>
      </x:c>
      <x:c r="B61" s="9" t="str">
        <x:v>Build inference and tool service</x:v>
      </x:c>
      <x:c r="C61" s="9" t="str">
        <x:v>Model baseline, tool schemas and auth policy</x:v>
      </x:c>
      <x:c r="D61" s="9" t="str">
        <x:v>Add bounded inference endpoint; validate structured outputs and tool calls; reject arbitrary shell/URL actions; enforce request limits.</x:v>
      </x:c>
      <x:c r="E61" s="9" t="str">
        <x:v>internal service build</x:v>
      </x:c>
      <x:c r="F61" s="9" t="str">
        <x:v>Permissions enforced server-side; unknown tools/units rejected; no plant-control writes.</x:v>
      </x:c>
      <x:c r="G61" s="9" t="str">
        <x:v>Parent security lead</x:v>
      </x:c>
      <x:c r="H61" s="9" t="n">
        <x:v>15</x:v>
      </x:c>
    </x:row>
    <x:row r="62" ht="100" customHeight="1">
      <x:c r="A62" s="10" t="str">
        <x:v>H03</x:v>
      </x:c>
      <x:c r="B62" s="10" t="str">
        <x:v>Integrate serving adapter and processor</x:v>
      </x:c>
      <x:c r="C62" s="10" t="str">
        <x:v>Frozen candidate and serving environment</x:v>
      </x:c>
      <x:c r="D62" s="10" t="str">
        <x:v>Use supported Transformers serving first; test vLLM only if exact adapter/vision path works; compare quantized and original outputs before selection.</x:v>
      </x:c>
      <x:c r="E62" s="10" t="str">
        <x:v>serving_manifest.json</x:v>
      </x:c>
      <x:c r="F62" s="10" t="str">
        <x:v>Selected backend reproduces accepted answers and image preprocessing; no silent fallback to base model.</x:v>
      </x:c>
      <x:c r="G62" s="10" t="str">
        <x:v>Contracted implementation specialist</x:v>
      </x:c>
      <x:c r="H62" s="10" t="n">
        <x:v>15</x:v>
      </x:c>
    </x:row>
    <x:row r="63" ht="100" customHeight="1">
      <x:c r="A63" s="9" t="str">
        <x:v>H04</x:v>
      </x:c>
      <x:c r="B63" s="9" t="str">
        <x:v>Build monitoring and controlled feedback queue</x:v>
      </x:c>
      <x:c r="C63" s="9" t="str">
        <x:v>Review logs and retention policy</x:v>
      </x:c>
      <x:c r="D63" s="9" t="str">
        <x:v>Record evidence IDs, release IDs, errors, latency and review outcomes; quarantine feedback; redact sensitive logs; implement access-aware deletion.</x:v>
      </x:c>
      <x:c r="E63" s="9" t="str">
        <x:v>monitoring and feedback workflow</x:v>
      </x:c>
      <x:c r="F63" s="9" t="str">
        <x:v>No online retraining; correction becomes data only after rights and expert review.</x:v>
      </x:c>
      <x:c r="G63" s="9" t="str">
        <x:v>Parent security lead</x:v>
      </x:c>
      <x:c r="H63" s="9" t="n">
        <x:v>17</x:v>
      </x:c>
    </x:row>
    <x:row r="64" ht="100" customHeight="1">
      <x:c r="A64" s="10" t="str">
        <x:v>I01</x:v>
      </x:c>
      <x:c r="B64" s="10" t="str">
        <x:v>Run locked independent technical evaluation</x:v>
      </x:c>
      <x:c r="C64" s="10" t="str">
        <x:v>Sealed 120 tasks and candidate service</x:v>
      </x:c>
      <x:c r="D64" s="10" t="str">
        <x:v>Independent reviewers score blind; apply prespecified denominators, tolerances and critical-error veto; log failures by family and modality.</x:v>
      </x:c>
      <x:c r="E64" s="10" t="str">
        <x:v>locked_eval_v1.jsonl</x:v>
      </x:c>
      <x:c r="F64" s="10" t="str">
        <x:v>At least 85% accepted diagnostic tasks,95% grounded claims,98% critical legible values and numeric checks; no critical failures.</x:v>
      </x:c>
      <x:c r="G64" s="10" t="str">
        <x:v>Contracted expert or independent reviewer</x:v>
      </x:c>
      <x:c r="H64" s="10" t="n">
        <x:v>16</x:v>
      </x:c>
    </x:row>
    <x:row r="65" ht="100" customHeight="1">
      <x:c r="A65" s="9" t="str">
        <x:v>I02</x:v>
      </x:c>
      <x:c r="B65" s="9" t="str">
        <x:v>Run challenge and security tests</x:v>
      </x:c>
      <x:c r="C65" s="9" t="str">
        <x:v>180 challenge prompts and access matrix</x:v>
      </x:c>
      <x:c r="D65" s="9" t="str">
        <x:v>Test image/text injections, fake citations, wrong units, cross-project access, expired grants, resource exhaustion and unsafe tool requests.</x:v>
      </x:c>
      <x:c r="E65" s="9" t="str">
        <x:v>security_report.json</x:v>
      </x:c>
      <x:c r="F65" s="9" t="str">
        <x:v>Zero unauthorized disclosure/actions in tested cases; no unresolved high-severity finding.</x:v>
      </x:c>
      <x:c r="G65" s="9" t="str">
        <x:v>Contracted implementation specialist</x:v>
      </x:c>
      <x:c r="H65" s="9" t="n">
        <x:v>17</x:v>
      </x:c>
    </x:row>
    <x:row r="66" ht="100" customHeight="1">
      <x:c r="A66" s="10" t="str">
        <x:v>I03</x:v>
      </x:c>
      <x:c r="B66" s="10" t="str">
        <x:v>Measure workload and reviewer efficiency</x:v>
      </x:c>
      <x:c r="C66" s="10" t="str">
        <x:v>Fixed workload, baseline times and reviewers</x:v>
      </x:c>
      <x:c r="D66" s="10" t="str">
        <x:v>Test five concurrent users, measured token/image budget and up to three tools; counterbalance human comparison tasks; compute per-accepted-brief cost.</x:v>
      </x:c>
      <x:c r="E66" s="10" t="str">
        <x:v>performance_and_effort.csv</x:v>
      </x:c>
      <x:c r="F66" s="10" t="str">
        <x:v>Report p95, rejection rate and median review effort; investigate deviations from 60-second proposal.</x:v>
      </x:c>
      <x:c r="G66" s="10" t="str">
        <x:v>Commercial Director</x:v>
      </x:c>
      <x:c r="H66" s="10" t="n">
        <x:v>16</x:v>
      </x:c>
    </x:row>
    <x:row r="67" ht="100" customHeight="1">
      <x:c r="A67" s="9" t="str">
        <x:v>I04</x:v>
      </x:c>
      <x:c r="B67" s="9" t="str">
        <x:v>Remediate and prepare fresh evaluation cases</x:v>
      </x:c>
      <x:c r="C67" s="9" t="str">
        <x:v>Failure records and independent reviewer capacity</x:v>
      </x:c>
      <x:c r="D67" s="9" t="str">
        <x:v>Fix affected component; refresh holdout for material fixes exposed by locked suite; rerun targeted and critical regression tests.</x:v>
      </x:c>
      <x:c r="E67" s="9" t="str">
        <x:v>remediation ledger and fresh holdout</x:v>
      </x:c>
      <x:c r="F67" s="9" t="str">
        <x:v>No reuse of exposed test cases as sole proof of corrected generalization. If insufficient cases, defer gate.</x:v>
      </x:c>
      <x:c r="G67" s="9" t="str">
        <x:v>Contracted expert or independent reviewer</x:v>
      </x:c>
      <x:c r="H67" s="9" t="n">
        <x:v>16</x:v>
      </x:c>
    </x:row>
    <x:row r="68" ht="100" customHeight="1">
      <x:c r="A68" s="10" t="str">
        <x:v>I05</x:v>
      </x:c>
      <x:c r="B68" s="10" t="str">
        <x:v>Test backup restore and rollback</x:v>
      </x:c>
      <x:c r="C68" s="10" t="str">
        <x:v>Versioned candidate and backup policy</x:v>
      </x:c>
      <x:c r="D68" s="10" t="str">
        <x:v>Restore sources/review records within approved recovery window; deploy previous version; revoke access and verify audit trail.</x:v>
      </x:c>
      <x:c r="E68" s="10" t="str">
        <x:v>restore_rollback_report.json</x:v>
      </x:c>
      <x:c r="F68" s="10" t="str">
        <x:v>Four-business-hour restore and 24-hour review-record loss objectives demonstrated or revised before approval.</x:v>
      </x:c>
      <x:c r="G68" s="10" t="str">
        <x:v>Parent security lead</x:v>
      </x:c>
      <x:c r="H68" s="10" t="n">
        <x:v>17</x:v>
      </x:c>
    </x:row>
    <x:row r="69" ht="100" customHeight="1">
      <x:c r="A69" s="9" t="str">
        <x:v>I06</x:v>
      </x:c>
      <x:c r="B69" s="9" t="str">
        <x:v>Sign technical security and release records</x:v>
      </x:c>
      <x:c r="C69" s="9" t="str">
        <x:v>Acceptance reports and resolved issue ledger</x:v>
      </x:c>
      <x:c r="D69" s="9" t="str">
        <x:v>Obtain separate Technical Director and security acceptance; package user guidance, monitoring and recovery procedures.</x:v>
      </x:c>
      <x:c r="E69" s="9" t="str">
        <x:v>release_manifest.json</x:v>
      </x:c>
      <x:c r="F69" s="9" t="str">
        <x:v>Single product release owner has both prerequisite acceptances.</x:v>
      </x:c>
      <x:c r="G69" s="9" t="str">
        <x:v>Technical Director</x:v>
      </x:c>
      <x:c r="H69" s="9" t="n">
        <x:v>17</x:v>
      </x:c>
    </x:row>
    <x:row r="70" ht="100" customHeight="1">
      <x:c r="A70" s="10" t="str">
        <x:v>G4</x:v>
      </x:c>
      <x:c r="B70" s="10" t="str">
        <x:v>G4 authorize supervised internal pilot</x:v>
      </x:c>
      <x:c r="C70" s="10" t="str">
        <x:v>Signed release and operations readiness</x:v>
      </x:c>
      <x:c r="D70" s="10" t="str">
        <x:v>Authorize only named internal users and supported tasks for four weeks.</x:v>
      </x:c>
      <x:c r="E70" s="10" t="str">
        <x:v>gate_G4.json</x:v>
      </x:c>
      <x:c r="F70" s="10" t="str">
        <x:v>No critical open defect; funding and reviewer coverage available.</x:v>
      </x:c>
      <x:c r="G70" s="10" t="str">
        <x:v>Head of Product and AI</x:v>
      </x:c>
      <x:c r="H70" s="10" t="n">
        <x:v>1</x:v>
      </x:c>
    </x:row>
    <x:row r="71" ht="100" customHeight="1">
      <x:c r="A71" s="9" t="str">
        <x:v>J01</x:v>
      </x:c>
      <x:c r="B71" s="9" t="str">
        <x:v>Onboard ten internal pilot users</x:v>
      </x:c>
      <x:c r="C71" s="9" t="str">
        <x:v>Approved release and user list</x:v>
      </x:c>
      <x:c r="D71" s="9" t="str">
        <x:v>Train users to inspect evidence, correct units, reject unsupported answers and escalate issues; verify access groups.</x:v>
      </x:c>
      <x:c r="E71" s="9" t="str">
        <x:v>onboarding records</x:v>
      </x:c>
      <x:c r="F71" s="9" t="str">
        <x:v>Each user completes a supervised sample; no external access.</x:v>
      </x:c>
      <x:c r="G71" s="9" t="str">
        <x:v>Technical Director</x:v>
      </x:c>
      <x:c r="H71" s="9" t="n">
        <x:v>18</x:v>
      </x:c>
    </x:row>
    <x:row r="72" ht="100" customHeight="1">
      <x:c r="A72" s="10" t="str">
        <x:v>J02</x:v>
      </x:c>
      <x:c r="B72" s="10" t="str">
        <x:v>Run supervised briefs and weekly reviews</x:v>
      </x:c>
      <x:c r="C72" s="10" t="str">
        <x:v>Internal engineering requests</x:v>
      </x:c>
      <x:c r="D72" s="10" t="str">
        <x:v>Target 100 reviewed briefs; record acceptance, corrections, time and sources; second-review weekly sample; stop affected capability on critical defect.</x:v>
      </x:c>
      <x:c r="E72" s="10" t="str">
        <x:v>pilot_briefs.jsonl and weekly metrics</x:v>
      </x:c>
      <x:c r="F72" s="10" t="str">
        <x:v>Every brief reviewed; limitations and incidents recorded, including refusals.</x:v>
      </x:c>
      <x:c r="G72" s="10" t="str">
        <x:v>Contracted expert or independent reviewer</x:v>
      </x:c>
      <x:c r="H72" s="10" t="n">
        <x:v>18</x:v>
      </x:c>
    </x:row>
    <x:row r="73" ht="100" customHeight="1">
      <x:c r="A73" s="9" t="str">
        <x:v>J03</x:v>
      </x:c>
      <x:c r="B73" s="9" t="str">
        <x:v>Measure pilot value and operating cost</x:v>
      </x:c>
      <x:c r="C73" s="9" t="str">
        <x:v>Reviewed brief log and cloud/reviewer costs</x:v>
      </x:c>
      <x:c r="D73" s="9" t="str">
        <x:v>Compare accepted-brief effort with baseline task mix; report quality, availability, cost and uncertainty; forecast continuing service cost.</x:v>
      </x:c>
      <x:c r="E73" s="9" t="str">
        <x:v>pilot_report.md</x:v>
      </x:c>
      <x:c r="F73" s="9" t="str">
        <x:v>No savings claim without observed accepted quality and recorded labor.</x:v>
      </x:c>
      <x:c r="G73" s="9" t="str">
        <x:v>Commercial Director</x:v>
      </x:c>
      <x:c r="H73" s="9" t="n">
        <x:v>18</x:v>
      </x:c>
    </x:row>
    <x:row r="74" ht="100" customHeight="1">
      <x:c r="A74" s="10" t="str">
        <x:v>J04</x:v>
      </x:c>
      <x:c r="B74" s="10" t="str">
        <x:v>Prepare continuation and next backlog</x:v>
      </x:c>
      <x:c r="C74" s="10" t="str">
        <x:v>Pilot findings and risk register</x:v>
      </x:c>
      <x:c r="D74" s="10" t="str">
        <x:v>Recommend continue, narrow or stop; propose next data gaps and budget; customer use remains a separate rights and product decision.</x:v>
      </x:c>
      <x:c r="E74" s="10" t="str">
        <x:v>continuation_memo.md</x:v>
      </x:c>
      <x:c r="F74" s="10" t="str">
        <x:v>Board receives evidence, residual limits and named owners.</x:v>
      </x:c>
      <x:c r="G74" s="10" t="str">
        <x:v>Technical Director</x:v>
      </x:c>
      <x:c r="H74" s="10" t="n">
        <x:v>18</x:v>
      </x:c>
    </x:row>
    <x:row r="75" ht="100" customHeight="1">
      <x:c r="A75" s="9" t="str">
        <x:v>G5</x:v>
      </x:c>
      <x:c r="B75" s="9" t="str">
        <x:v>G5 decide continuation</x:v>
      </x:c>
      <x:c r="C75" s="9" t="str">
        <x:v>Pilot report and continuation memo</x:v>
      </x:c>
      <x:c r="D75" s="9" t="str">
        <x:v>Record continue/narrow/stop decision and release scope.</x:v>
      </x:c>
      <x:c r="E75" s="9" t="str">
        <x:v>gate_G5.json</x:v>
      </x:c>
      <x:c r="F75" s="9" t="str">
        <x:v>No implied commercial launch or automatic model expansion.</x:v>
      </x:c>
      <x:c r="G75" s="9" t="str">
        <x:v>Head of Product and AI</x:v>
      </x:c>
      <x:c r="H75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8b62cb61d34f2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19" hidden="0" customWidth="1"/>
    <x:col min="4" max="4" width="76" hidden="0" customWidth="1"/>
    <x:col min="5" max="5" width="27" hidden="0" customWidth="1"/>
    <x:col min="6" max="6" width="70" hidden="0" customWidth="1"/>
    <x:col min="7" max="7" width="48" hidden="0" customWidth="1"/>
  </x:cols>
  <x:sheetData>
    <x:row r="1" ht="27" customHeight="1">
      <x:c r="A1" s="2" t="str">
        <x:v>Existing source processing routes</x:v>
      </x:c>
      <x:c r="B1" s="1"/>
      <x:c r="C1" s="1"/>
      <x:c r="D1" s="1"/>
      <x:c r="E1" s="1"/>
      <x:c r="F1" s="1"/>
      <x:c r="G1" s="1"/>
    </x:row>
    <x:row r="2" ht="28" customHeight="1">
      <x:c r="A2" s="3" t="str">
        <x:v>Prior review status retained. Acquisition and permission decisions are implementation tasks.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7" t="str">
        <x:v>Source ID</x:v>
      </x:c>
      <x:c r="B5" s="7" t="str">
        <x:v>Source or model</x:v>
      </x:c>
      <x:c r="C5" s="7" t="str">
        <x:v>Recipe</x:v>
      </x:c>
      <x:c r="D5" s="7" t="str">
        <x:v>Disposition</x:v>
      </x:c>
      <x:c r="E5" s="7" t="str">
        <x:v>Task IDs</x:v>
      </x:c>
      <x:c r="F5" s="7" t="str">
        <x:v>Original URL</x:v>
      </x:c>
      <x:c r="G5" s="7" t="str">
        <x:v>Processing status</x:v>
      </x:c>
    </x:row>
    <x:row r="6" ht="78" customHeight="1">
      <x:c r="A6" s="10" t="str">
        <x:v>P01</x:v>
      </x:c>
      <x:c r="B6" s="10" t="str">
        <x:v>DOE Steam Systems and Steam Sourcebook</x:v>
      </x:c>
      <x:c r="C6" s="10" t="str">
        <x:v>R01</x:v>
      </x:c>
      <x:c r="D6" s="10" t="str">
        <x:v>Acquire and review item rights before use</x:v>
      </x:c>
      <x:c r="E6" s="10" t="str">
        <x:v>A05 C02 C03 D05</x:v>
      </x:c>
      <x:c r="F6" s="10" t="str">
        <x:v>https://www.energy.gov/cmei/ito/steam-systems</x:v>
      </x:c>
      <x:c r="G6" s="10" t="str">
        <x:v>Not acquired or processed in this implementation task</x:v>
      </x:c>
    </x:row>
    <x:row r="7" ht="78" customHeight="1">
      <x:c r="A7" s="9" t="str">
        <x:v>P02</x:v>
      </x:c>
      <x:c r="B7" s="9" t="str">
        <x:v>DOE Process Heating Sourcebook</x:v>
      </x:c>
      <x:c r="C7" s="9" t="str">
        <x:v>R01</x:v>
      </x:c>
      <x:c r="D7" s="9" t="str">
        <x:v>Acquire and review item rights before use</x:v>
      </x:c>
      <x:c r="E7" s="9" t="str">
        <x:v>A05 C02 C03 D05</x:v>
      </x:c>
      <x:c r="F7" s="9" t="str">
        <x:v>https://betterbuildingssolutioncenter.energy.gov/better-plants/process-heating</x:v>
      </x:c>
      <x:c r="G7" s="9" t="str">
        <x:v>Not acquired or processed in this implementation task</x:v>
      </x:c>
    </x:row>
    <x:row r="8" ht="78" customHeight="1">
      <x:c r="A8" s="10" t="str">
        <x:v>P03</x:v>
      </x:c>
      <x:c r="B8" s="10" t="str">
        <x:v>DOE Pumping System Sourcebook</x:v>
      </x:c>
      <x:c r="C8" s="10" t="str">
        <x:v>R01</x:v>
      </x:c>
      <x:c r="D8" s="10" t="str">
        <x:v>Acquire and review item rights before use</x:v>
      </x:c>
      <x:c r="E8" s="10" t="str">
        <x:v>A05 C02 C03 D05</x:v>
      </x:c>
      <x:c r="F8" s="10" t="str">
        <x:v>https://betterbuildingssolutioncenter.energy.gov/better-plants/pumps</x:v>
      </x:c>
      <x:c r="G8" s="10" t="str">
        <x:v>Not acquired or processed in this implementation task</x:v>
      </x:c>
    </x:row>
    <x:row r="9" ht="78" customHeight="1">
      <x:c r="A9" s="9" t="str">
        <x:v>P04</x:v>
      </x:c>
      <x:c r="B9" s="9" t="str">
        <x:v>CSB BP Texas City refinery investigation</x:v>
      </x:c>
      <x:c r="C9" s="9" t="str">
        <x:v>R01</x:v>
      </x:c>
      <x:c r="D9" s="9" t="str">
        <x:v>Acquire and review item rights before use</x:v>
      </x:c>
      <x:c r="E9" s="9" t="str">
        <x:v>A05 C02 C03 D05</x:v>
      </x:c>
      <x:c r="F9" s="9" t="str">
        <x:v>https://www.csb.gov/bp-america-texas-city-refinery-explosion/</x:v>
      </x:c>
      <x:c r="G9" s="9" t="str">
        <x:v>Not acquired or processed in this implementation task</x:v>
      </x:c>
    </x:row>
    <x:row r="10" ht="78" customHeight="1">
      <x:c r="A10" s="10" t="str">
        <x:v>P05</x:v>
      </x:c>
      <x:c r="B10" s="10" t="str">
        <x:v>EPA AP 42 Chapter 5 petroleum industry</x:v>
      </x:c>
      <x:c r="C10" s="10" t="str">
        <x:v>R01</x:v>
      </x:c>
      <x:c r="D10" s="10" t="str">
        <x:v>Acquire and review item rights before use</x:v>
      </x:c>
      <x:c r="E10" s="10" t="str">
        <x:v>A05 C02 C03 D05</x:v>
      </x:c>
      <x:c r="F10" s="10" t="str">
        <x:v>https://www.epa.gov/air-emissions-factors-and-quantification/ap-42-fifth-edition-volume-i-chapter-5-petroleum-1</x:v>
      </x:c>
      <x:c r="G10" s="10" t="str">
        <x:v>Not acquired or processed in this implementation task</x:v>
      </x:c>
    </x:row>
    <x:row r="11" ht="78" customHeight="1">
      <x:c r="A11" s="9" t="str">
        <x:v>P06</x:v>
      </x:c>
      <x:c r="B11" s="9" t="str">
        <x:v>EIA Open Data API</x:v>
      </x:c>
      <x:c r="C11" s="9" t="str">
        <x:v>R06</x:v>
      </x:c>
      <x:c r="D11" s="9" t="str">
        <x:v>Optional dated context tool; exclude from diagnostic answer labels</x:v>
      </x:c>
      <x:c r="E11" s="9" t="str">
        <x:v>C08</x:v>
      </x:c>
      <x:c r="F11" s="9" t="str">
        <x:v>https://www.eia.gov/opendata/</x:v>
      </x:c>
      <x:c r="G11" s="9" t="str">
        <x:v>Not acquired or processed in this implementation task</x:v>
      </x:c>
    </x:row>
    <x:row r="12" ht="78" customHeight="1">
      <x:c r="A12" s="10" t="str">
        <x:v>P07</x:v>
      </x:c>
      <x:c r="B12" s="10" t="str">
        <x:v>CoolProp</x:v>
      </x:c>
      <x:c r="C12" s="10" t="str">
        <x:v>R10</x:v>
      </x:c>
      <x:c r="D12" s="10" t="str">
        <x:v>Implement as checked tool, not raw document training</x:v>
      </x:c>
      <x:c r="E12" s="10" t="str">
        <x:v>E03</x:v>
      </x:c>
      <x:c r="F12" s="10" t="str">
        <x:v>https://github.com/CoolProp/CoolProp</x:v>
      </x:c>
      <x:c r="G12" s="10" t="str">
        <x:v>Not acquired or processed in this implementation task</x:v>
      </x:c>
    </x:row>
    <x:row r="13" ht="78" customHeight="1">
      <x:c r="A13" s="9" t="str">
        <x:v>P08</x:v>
      </x:c>
      <x:c r="B13" s="9" t="str">
        <x:v>IDAES Process Systems Engineering Framework</x:v>
      </x:c>
      <x:c r="C13" s="9" t="str">
        <x:v>R10</x:v>
      </x:c>
      <x:c r="D13" s="9" t="str">
        <x:v>Implement as checked tool, not raw document training</x:v>
      </x:c>
      <x:c r="E13" s="9" t="str">
        <x:v>E03</x:v>
      </x:c>
      <x:c r="F13" s="9" t="str">
        <x:v>https://github.com/IDAES/idaes-pse</x:v>
      </x:c>
      <x:c r="G13" s="9" t="str">
        <x:v>Not acquired or processed in this implementation task</x:v>
      </x:c>
    </x:row>
    <x:row r="14" ht="78" customHeight="1">
      <x:c r="A14" s="10" t="str">
        <x:v>P09</x:v>
      </x:c>
      <x:c r="B14" s="10" t="str">
        <x:v>NIST Chemistry WebBook SRD 69</x:v>
      </x:c>
      <x:c r="C14" s="10" t="str">
        <x:v>R12</x:v>
      </x:c>
      <x:c r="D14" s="10" t="str">
        <x:v>Held permission review or later practice; not first refining pilot</x:v>
      </x:c>
      <x:c r="E14" s="10" t="str">
        <x:v>A05</x:v>
      </x:c>
      <x:c r="F14" s="10" t="str">
        <x:v>https://webbook.nist.gov/chemistry/</x:v>
      </x:c>
      <x:c r="G14" s="10" t="str">
        <x:v>Not acquired or processed in this implementation task</x:v>
      </x:c>
    </x:row>
    <x:row r="15" ht="78" customHeight="1">
      <x:c r="A15" s="9" t="str">
        <x:v>P10</x:v>
      </x:c>
      <x:c r="B15" s="9" t="str">
        <x:v>Equinor Volve field dataset</x:v>
      </x:c>
      <x:c r="C15" s="9" t="str">
        <x:v>R12</x:v>
      </x:c>
      <x:c r="D15" s="9" t="str">
        <x:v>Held permission review or later practice; not first refining pilot</x:v>
      </x:c>
      <x:c r="E15" s="9" t="str">
        <x:v>A05</x:v>
      </x:c>
      <x:c r="F15" s="9" t="str">
        <x:v>https://www.equinor.com/energy/volve-data-sharing</x:v>
      </x:c>
      <x:c r="G15" s="9" t="str">
        <x:v>Not acquired or processed in this implementation task</x:v>
      </x:c>
    </x:row>
    <x:row r="16" ht="78" customHeight="1">
      <x:c r="A16" s="10" t="str">
        <x:v>P11</x:v>
      </x:c>
      <x:c r="B16" s="10" t="str">
        <x:v>NETL Energy Data eXchange</x:v>
      </x:c>
      <x:c r="C16" s="10" t="str">
        <x:v>R12</x:v>
      </x:c>
      <x:c r="D16" s="10" t="str">
        <x:v>Held permission review or later practice; not first refining pilot</x:v>
      </x:c>
      <x:c r="E16" s="10" t="str">
        <x:v>A05</x:v>
      </x:c>
      <x:c r="F16" s="10" t="str">
        <x:v>https://edx.netl.doe.gov/</x:v>
      </x:c>
      <x:c r="G16" s="10" t="str">
        <x:v>Not acquired or processed in this implementation task</x:v>
      </x:c>
    </x:row>
    <x:row r="17" ht="78" customHeight="1">
      <x:c r="A17" s="9" t="str">
        <x:v>M01</x:v>
      </x:c>
      <x:c r="B17" s="9" t="str">
        <x:v>Qwen/Qwen3-8B</x:v>
      </x:c>
      <x:c r="C17" s="9" t="str">
        <x:v>R09</x:v>
      </x:c>
      <x:c r="D17" s="9" t="str">
        <x:v>Candidate; pin and validate before loading</x:v>
      </x:c>
      <x:c r="E17" s="9" t="str">
        <x:v>B02 B03 B04 B05</x:v>
      </x:c>
      <x:c r="F17" s="9" t="str">
        <x:v>https://huggingface.co/Qwen/Qwen3-8B</x:v>
      </x:c>
      <x:c r="G17" s="9" t="str">
        <x:v>Not acquired or processed in this implementation task</x:v>
      </x:c>
    </x:row>
    <x:row r="18" ht="78" customHeight="1">
      <x:c r="A18" s="10" t="str">
        <x:v>M02</x:v>
      </x:c>
      <x:c r="B18" s="10" t="str">
        <x:v>Qwen/Qwen3.5-4B</x:v>
      </x:c>
      <x:c r="C18" s="10" t="str">
        <x:v>R09</x:v>
      </x:c>
      <x:c r="D18" s="10" t="str">
        <x:v>Candidate; pin and validate before loading</x:v>
      </x:c>
      <x:c r="E18" s="10" t="str">
        <x:v>B02 B03 B04 B05</x:v>
      </x:c>
      <x:c r="F18" s="10" t="str">
        <x:v>https://huggingface.co/Qwen/Qwen3.5-4B</x:v>
      </x:c>
      <x:c r="G18" s="10" t="str">
        <x:v>Not acquired or processed in this implementation task</x:v>
      </x:c>
    </x:row>
    <x:row r="19" ht="78" customHeight="1">
      <x:c r="A19" s="9" t="str">
        <x:v>M03</x:v>
      </x:c>
      <x:c r="B19" s="9" t="str">
        <x:v>mistralai/Ministral-3-8B-Instruct-2512</x:v>
      </x:c>
      <x:c r="C19" s="9" t="str">
        <x:v>R09</x:v>
      </x:c>
      <x:c r="D19" s="9" t="str">
        <x:v>Candidate; pin and validate before loading</x:v>
      </x:c>
      <x:c r="E19" s="9" t="str">
        <x:v>B02 B03 B04 B05</x:v>
      </x:c>
      <x:c r="F19" s="9" t="str">
        <x:v>https://huggingface.co/mistralai/Ministral-3-8B-Instruct-2512</x:v>
      </x:c>
      <x:c r="G19" s="9" t="str">
        <x:v>Not acquired or processed in this implementation task</x:v>
      </x:c>
    </x:row>
    <x:row r="20" ht="78" customHeight="1">
      <x:c r="A20" s="10" t="str">
        <x:v>M04</x:v>
      </x:c>
      <x:c r="B20" s="10" t="str">
        <x:v>Qwen/Qwen3-32B</x:v>
      </x:c>
      <x:c r="C20" s="10" t="str">
        <x:v>R09</x:v>
      </x:c>
      <x:c r="D20" s="10" t="str">
        <x:v>Optional drafting teacher; approved inputs only; independent answer review</x:v>
      </x:c>
      <x:c r="E20" s="10" t="str">
        <x:v>B02 B03 B04 B05</x:v>
      </x:c>
      <x:c r="F20" s="10" t="str">
        <x:v>https://huggingface.co/Qwen/Qwen3-32B</x:v>
      </x:c>
      <x:c r="G20" s="10" t="str">
        <x:v>Not acquired or processed in this implementation task</x:v>
      </x:c>
    </x:row>
    <x:row r="21" ht="78" customHeight="1">
      <x:c r="A21" s="9" t="str">
        <x:v>M05</x:v>
      </x:c>
      <x:c r="B21" s="9" t="str">
        <x:v>Qwen/Qwen3-Embedding-0.6B</x:v>
      </x:c>
      <x:c r="C21" s="9" t="str">
        <x:v>R09</x:v>
      </x:c>
      <x:c r="D21" s="9" t="str">
        <x:v>Candidate; pin and validate before loading</x:v>
      </x:c>
      <x:c r="E21" s="9" t="str">
        <x:v>B02 B03 B04 B05</x:v>
      </x:c>
      <x:c r="F21" s="9" t="str">
        <x:v>https://huggingface.co/Qwen/Qwen3-Embedding-0.6B</x:v>
      </x:c>
      <x:c r="G21" s="9" t="str">
        <x:v>Not acquired or processed in this implementation task</x:v>
      </x:c>
    </x:row>
    <x:row r="22" ht="78" customHeight="1">
      <x:c r="A22" s="10" t="str">
        <x:v>M06</x:v>
      </x:c>
      <x:c r="B22" s="10" t="str">
        <x:v>Qwen/Qwen3-Reranker-0.6B</x:v>
      </x:c>
      <x:c r="C22" s="10" t="str">
        <x:v>R09</x:v>
      </x:c>
      <x:c r="D22" s="10" t="str">
        <x:v>Candidate; pin and validate before loading</x:v>
      </x:c>
      <x:c r="E22" s="10" t="str">
        <x:v>B02 B03 B04 B05</x:v>
      </x:c>
      <x:c r="F22" s="10" t="str">
        <x:v>https://huggingface.co/Qwen/Qwen3-Reranker-0.6B</x:v>
      </x:c>
      <x:c r="G22" s="10" t="str">
        <x:v>Not acquired or processed in this implementation task</x:v>
      </x:c>
    </x:row>
    <x:row r="23" ht="78" customHeight="1">
      <x:c r="A23" s="9" t="str">
        <x:v>M07</x:v>
      </x:c>
      <x:c r="B23" s="9" t="str">
        <x:v>PetroGPT/Llama-3-Petro-Instruct-v1</x:v>
      </x:c>
      <x:c r="C23" s="9" t="str">
        <x:v>R12</x:v>
      </x:c>
      <x:c r="D23" s="9" t="str">
        <x:v>Hold; rights or lineage unresolved; no pilot use</x:v>
      </x:c>
      <x:c r="E23" s="9" t="str">
        <x:v>A05</x:v>
      </x:c>
      <x:c r="F23" s="9" t="str">
        <x:v>https://huggingface.co/PetroGPT/Llama-3-Petro-Instruct-v1</x:v>
      </x:c>
      <x:c r="G23" s="9" t="str">
        <x:v>Not acquired or processed in this implementation task</x:v>
      </x:c>
    </x:row>
    <x:row r="24" ht="78" customHeight="1">
      <x:c r="A24" s="10" t="str">
        <x:v>M08</x:v>
      </x:c>
      <x:c r="B24" s="10" t="str">
        <x:v>GeoGPT-Research-Project/GeoGPT-R1-Preview</x:v>
      </x:c>
      <x:c r="C24" s="10" t="str">
        <x:v>R12</x:v>
      </x:c>
      <x:c r="D24" s="10" t="str">
        <x:v>Hold; rights or lineage unresolved; no pilot use</x:v>
      </x:c>
      <x:c r="E24" s="10" t="str">
        <x:v>A05</x:v>
      </x:c>
      <x:c r="F24" s="10" t="str">
        <x:v>https://huggingface.co/GeoGPT-Research-Project/GeoGPT-R1-Preview</x:v>
      </x:c>
      <x:c r="G24" s="10" t="str">
        <x:v>Not acquired or processed in this implementation task</x:v>
      </x:c>
    </x:row>
    <x:row r="25" ht="78" customHeight="1">
      <x:c r="A25" s="9" t="str">
        <x:v>M09</x:v>
      </x:c>
      <x:c r="B25" s="9" t="str">
        <x:v>AI4Chem/ChemLLM-7B-Chat</x:v>
      </x:c>
      <x:c r="C25" s="9" t="str">
        <x:v>R12</x:v>
      </x:c>
      <x:c r="D25" s="9" t="str">
        <x:v>Hold; rights or lineage unresolved; no pilot use</x:v>
      </x:c>
      <x:c r="E25" s="9" t="str">
        <x:v>A05</x:v>
      </x:c>
      <x:c r="F25" s="9" t="str">
        <x:v>https://huggingface.co/AI4Chem/ChemLLM-7B-Chat</x:v>
      </x:c>
      <x:c r="G25" s="9" t="str">
        <x:v>Not acquired or processed in this implementation task</x:v>
      </x:c>
    </x:row>
    <x:row r="26" ht="78" customHeight="1">
      <x:c r="A26" s="10" t="str">
        <x:v>D01</x:v>
      </x:c>
      <x:c r="B26" s="10" t="str">
        <x:v>PetroGPT/petro-dataset-v2</x:v>
      </x:c>
      <x:c r="C26" s="10" t="str">
        <x:v>R12</x:v>
      </x:c>
      <x:c r="D26" s="10" t="str">
        <x:v>Hold or later evaluation per original register; not launch SFT</x:v>
      </x:c>
      <x:c r="E26" s="10" t="str">
        <x:v>A05 D09</x:v>
      </x:c>
      <x:c r="F26" s="10" t="str">
        <x:v>https://huggingface.co/datasets/PetroGPT/petro-dataset-v2</x:v>
      </x:c>
      <x:c r="G26" s="10" t="str">
        <x:v>Not acquired or processed in this implementation task</x:v>
      </x:c>
    </x:row>
    <x:row r="27" ht="78" customHeight="1">
      <x:c r="A27" s="9" t="str">
        <x:v>D02</x:v>
      </x:c>
      <x:c r="B27" s="9" t="str">
        <x:v>GeoGPT-Research-Project/GeoGPT-CoT-QA</x:v>
      </x:c>
      <x:c r="C27" s="9" t="str">
        <x:v>R12</x:v>
      </x:c>
      <x:c r="D27" s="9" t="str">
        <x:v>Hold or later evaluation per original register; not launch SFT</x:v>
      </x:c>
      <x:c r="E27" s="9" t="str">
        <x:v>A05 D09</x:v>
      </x:c>
      <x:c r="F27" s="9" t="str">
        <x:v>https://huggingface.co/datasets/GeoGPT-Research-Project/GeoGPT-CoT-QA</x:v>
      </x:c>
      <x:c r="G27" s="9" t="str">
        <x:v>Not acquired or processed in this implementation task</x:v>
      </x:c>
    </x:row>
    <x:row r="28" ht="78" customHeight="1">
      <x:c r="A28" s="10" t="str">
        <x:v>D03</x:v>
      </x:c>
      <x:c r="B28" s="10" t="str">
        <x:v>petra-2026/PETRA</x:v>
      </x:c>
      <x:c r="C28" s="10" t="str">
        <x:v>R12</x:v>
      </x:c>
      <x:c r="D28" s="10" t="str">
        <x:v>Hold or later evaluation per original register; not launch SFT</x:v>
      </x:c>
      <x:c r="E28" s="10" t="str">
        <x:v>A05 D09</x:v>
      </x:c>
      <x:c r="F28" s="10" t="str">
        <x:v>https://huggingface.co/datasets/petra-2026/PETRA</x:v>
      </x:c>
      <x:c r="G28" s="10" t="str">
        <x:v>Not acquired or processed in this implementation task</x:v>
      </x:c>
    </x:row>
    <x:row r="29" ht="78" customHeight="1">
      <x:c r="A29" s="9" t="str">
        <x:v>D04</x:v>
      </x:c>
      <x:c r="B29" s="9" t="str">
        <x:v>my2000cup/PetroBench</x:v>
      </x:c>
      <x:c r="C29" s="9" t="str">
        <x:v>R12</x:v>
      </x:c>
      <x:c r="D29" s="9" t="str">
        <x:v>Hold or later evaluation per original register; not launch SFT</x:v>
      </x:c>
      <x:c r="E29" s="9" t="str">
        <x:v>A05 D09</x:v>
      </x:c>
      <x:c r="F29" s="9" t="str">
        <x:v>https://huggingface.co/datasets/my2000cup/PetroBench</x:v>
      </x:c>
      <x:c r="G29" s="9" t="str">
        <x:v>Not acquired or processed in this implementation task</x:v>
      </x:c>
    </x:row>
    <x:row r="30" ht="78" customHeight="1">
      <x:c r="A30" s="10" t="str">
        <x:v>D05</x:v>
      </x:c>
      <x:c r="B30" s="10" t="str">
        <x:v>FormationEval original 505 question track</x:v>
      </x:c>
      <x:c r="C30" s="10" t="str">
        <x:v>R12</x:v>
      </x:c>
      <x:c r="D30" s="10" t="str">
        <x:v>Hold or later evaluation per original register; not launch SFT</x:v>
      </x:c>
      <x:c r="E30" s="10" t="str">
        <x:v>A05 D09</x:v>
      </x:c>
      <x:c r="F30" s="10" t="str">
        <x:v>https://github.com/AlmazErmilov/FormationEval-an-Open-Benchmark-for-Oil-Gas-Geoscience-MCQ-Evaluation</x:v>
      </x:c>
      <x:c r="G30" s="10" t="str">
        <x:v>Not acquired or processed in this implementation task</x:v>
      </x:c>
    </x:row>
    <x:row r="31" ht="78" customHeight="1">
      <x:c r="A31" s="9" t="str">
        <x:v>D06</x:v>
      </x:c>
      <x:c r="B31" s="9" t="str">
        <x:v>MIT OpenCourseWare</x:v>
      </x:c>
      <x:c r="C31" s="9" t="str">
        <x:v>R12</x:v>
      </x:c>
      <x:c r="D31" s="9" t="str">
        <x:v>Hold or later evaluation per original register; not launch SFT</x:v>
      </x:c>
      <x:c r="E31" s="9" t="str">
        <x:v>A05 D09</x:v>
      </x:c>
      <x:c r="F31" s="9" t="str">
        <x:v>https://ocw.mit.edu/pages/privacy-and-terms-of-use/</x:v>
      </x:c>
      <x:c r="G31" s="9" t="str">
        <x:v>Not acquired or processed in this implementation task</x:v>
      </x:c>
    </x:row>
    <x:row r="32" ht="78" customHeight="1">
      <x:c r="A32" s="10" t="str">
        <x:v>K01</x:v>
      </x:c>
      <x:c r="B32" s="10" t="str">
        <x:v>Norman and Elizabeth Lieberman expertise</x:v>
      </x:c>
      <x:c r="C32" s="10" t="str">
        <x:v>R07 / R03</x:v>
      </x:c>
      <x:c r="D32" s="10" t="str">
        <x:v>Original contracted cases preferred; candidate appointment only</x:v>
      </x:c>
      <x:c r="E32" s="10" t="str">
        <x:v>A05 C09 D01</x:v>
      </x:c>
      <x:c r="F32" s="10" t="str">
        <x:v>https://www.lieberman-eng.com/personnel.htm</x:v>
      </x:c>
      <x:c r="G32" s="10" t="str">
        <x:v>Not acquired or processed in this implementation task</x:v>
      </x:c>
    </x:row>
    <x:row r="33" ht="78" customHeight="1">
      <x:c r="A33" s="9" t="str">
        <x:v>K02</x:v>
      </x:c>
      <x:c r="B33" s="9" t="str">
        <x:v>Lieberman published equipment and troubleshooting works</x:v>
      </x:c>
      <x:c r="C33" s="9" t="str">
        <x:v>R11 then R01</x:v>
      </x:c>
      <x:c r="D33" s="9" t="str">
        <x:v>Obtain exact licensed full work; separate expert appointment</x:v>
      </x:c>
      <x:c r="E33" s="9" t="str">
        <x:v>A05 C02 D05</x:v>
      </x:c>
      <x:c r="F33" s="9" t="str">
        <x:v>https://www.sciencedirect.com/book/monograph/9780128161616/understanding-process-equipment-for-operators-and-engineers</x:v>
      </x:c>
      <x:c r="G33" s="9" t="str">
        <x:v>Not acquired or processed in this implementation task</x:v>
      </x:c>
    </x:row>
    <x:row r="34" ht="78" customHeight="1">
      <x:c r="A34" s="10" t="str">
        <x:v>K03</x:v>
      </x:c>
      <x:c r="B34" s="10" t="str">
        <x:v>Henry Kister Distillation Diagnostics</x:v>
      </x:c>
      <x:c r="C34" s="10" t="str">
        <x:v>R11 then R01</x:v>
      </x:c>
      <x:c r="D34" s="10" t="str">
        <x:v>Obtain exact licensed full work; separate expert appointment</x:v>
      </x:c>
      <x:c r="E34" s="10" t="str">
        <x:v>A05 C02 D05</x:v>
      </x:c>
      <x:c r="F34" s="10" t="str">
        <x:v>https://onlinelibrary.wiley.com/doi/book/10.1002/9781119640165</x:v>
      </x:c>
      <x:c r="G34" s="10" t="str">
        <x:v>Not acquired or processed in this implementation task</x:v>
      </x:c>
    </x:row>
    <x:row r="35" ht="78" customHeight="1">
      <x:c r="A35" s="9" t="str">
        <x:v>K04</x:v>
      </x:c>
      <x:c r="B35" s="9" t="str">
        <x:v>PetroSkills Campbell Gas Course</x:v>
      </x:c>
      <x:c r="C35" s="9" t="str">
        <x:v>R12</x:v>
      </x:c>
      <x:c r="D35" s="9" t="str">
        <x:v>Held permission review or later practice; not first refining pilot</x:v>
      </x:c>
      <x:c r="E35" s="9" t="str">
        <x:v>A05</x:v>
      </x:c>
      <x:c r="F35" s="9" t="str">
        <x:v>https://www.petroskills.com/en/training/courses/gas-conditioning-and-processing-g-4~p2995</x:v>
      </x:c>
      <x:c r="G35" s="9" t="str">
        <x:v>Not acquired or processed in this implementation task</x:v>
      </x:c>
    </x:row>
    <x:row r="36" ht="78" customHeight="1">
      <x:c r="A36" s="10" t="str">
        <x:v>K05</x:v>
      </x:c>
      <x:c r="B36" s="10" t="str">
        <x:v>Customer incidents procedures historian and maintenance records</x:v>
      </x:c>
      <x:c r="C36" s="10" t="str">
        <x:v>R04 / R06</x:v>
      </x:c>
      <x:c r="D36" s="10" t="str">
        <x:v>Site-only retrieval by default; no shared SFT without grant</x:v>
      </x:c>
      <x:c r="E36" s="10" t="str">
        <x:v>A05 C07 C08</x:v>
      </x:c>
      <x:c r="F36" s="10" t="str"/>
      <x:c r="G36" s="10" t="str">
        <x:v>Not acquired or processed in this implementation task</x:v>
      </x:c>
    </x:row>
    <x:row r="37" ht="78" customHeight="1">
      <x:c r="A37" s="9" t="str">
        <x:v>K06</x:v>
      </x:c>
      <x:c r="B37" s="9" t="str">
        <x:v>OEM manuals standards and customer licensed references</x:v>
      </x:c>
      <x:c r="C37" s="9" t="str">
        <x:v>R01 / R05</x:v>
      </x:c>
      <x:c r="D37" s="9" t="str">
        <x:v>Licensed retrieval only unless separate training grant</x:v>
      </x:c>
      <x:c r="E37" s="9" t="str">
        <x:v>A05 C03 C06</x:v>
      </x:c>
      <x:c r="F37" s="9" t="str"/>
      <x:c r="G37" s="9" t="str">
        <x:v>Not acquired or processed in this implementation task</x:v>
      </x:c>
    </x:row>
    <x:row r="38" ht="78" customHeight="1">
      <x:c r="A38" s="10" t="str">
        <x:v>N01</x:v>
      </x:c>
      <x:c r="B38" s="10" t="str">
        <x:v>Ask Norm Lieberman — public blog and Q&amp;A archive</x:v>
      </x:c>
      <x:c r="C38" s="10" t="str">
        <x:v>R04 / R01</x:v>
      </x:c>
      <x:c r="D38" s="10" t="str">
        <x:v>Separate each post, correspondent and embedded asset</x:v>
      </x:c>
      <x:c r="E38" s="10" t="str">
        <x:v>A05 C03 C07</x:v>
      </x:c>
      <x:c r="F38" s="10" t="str">
        <x:v>https://asknormlieberman.blogspot.com/</x:v>
      </x:c>
      <x:c r="G38" s="10" t="str">
        <x:v>Not acquired or processed in this implementation task</x:v>
      </x:c>
    </x:row>
    <x:row r="39" ht="78" customHeight="1">
      <x:c r="A39" s="9" t="str">
        <x:v>N02</x:v>
      </x:c>
      <x:c r="B39" s="9" t="str">
        <x:v>Understanding vacuum system performance problems</x:v>
      </x:c>
      <x:c r="C39" s="9" t="str">
        <x:v>R01</x:v>
      </x:c>
      <x:c r="D39" s="9" t="str">
        <x:v>Acquire and review item rights before use</x:v>
      </x:c>
      <x:c r="E39" s="9" t="str">
        <x:v>A05 C02 C03 D05</x:v>
      </x:c>
      <x:c r="F39" s="9" t="str">
        <x:v>https://www.ogj.com/home/article/17228903/beyond-back-to-basics-process-principles-and-concepts-4-understanding-vacuum-system-performance-problems</x:v>
      </x:c>
      <x:c r="G39" s="9" t="str">
        <x:v>Not acquired or processed in this implementation task</x:v>
      </x:c>
    </x:row>
    <x:row r="40" ht="78" customHeight="1">
      <x:c r="A40" s="10" t="str">
        <x:v>N03</x:v>
      </x:c>
      <x:c r="B40" s="10" t="str">
        <x:v>Understanding how distillation trays work</x:v>
      </x:c>
      <x:c r="C40" s="10" t="str">
        <x:v>R01</x:v>
      </x:c>
      <x:c r="D40" s="10" t="str">
        <x:v>Acquire and review item rights before use</x:v>
      </x:c>
      <x:c r="E40" s="10" t="str">
        <x:v>A05 C02 C03 D05</x:v>
      </x:c>
      <x:c r="F40" s="10" t="str">
        <x:v>https://www.ogj.com/refining-processing/refining/article/17232595/understanding-how-distillation-trays-work</x:v>
      </x:c>
      <x:c r="G40" s="10" t="str">
        <x:v>Not acquired or processed in this implementation task</x:v>
      </x:c>
    </x:row>
    <x:row r="41" ht="78" customHeight="1">
      <x:c r="A41" s="9" t="str">
        <x:v>N04</x:v>
      </x:c>
      <x:c r="B41" s="9" t="str">
        <x:v>Understanding reflux in distillation towers</x:v>
      </x:c>
      <x:c r="C41" s="9" t="str">
        <x:v>R01</x:v>
      </x:c>
      <x:c r="D41" s="9" t="str">
        <x:v>Acquire and review item rights before use</x:v>
      </x:c>
      <x:c r="E41" s="9" t="str">
        <x:v>A05 C02 C03 D05</x:v>
      </x:c>
      <x:c r="F41" s="9" t="str">
        <x:v>https://www.ogj.com/refining-processing/article/17229143/beyond-back-to-basics-process-principles-and-concepts-2-understanding-reflux-in-distillation-towers</x:v>
      </x:c>
      <x:c r="G41" s="9" t="str">
        <x:v>Not acquired or processed in this implementation task</x:v>
      </x:c>
    </x:row>
    <x:row r="42" ht="78" customHeight="1">
      <x:c r="A42" s="10" t="str">
        <x:v>N05</x:v>
      </x:c>
      <x:c r="B42" s="10" t="str">
        <x:v>Understanding process heat transfer</x:v>
      </x:c>
      <x:c r="C42" s="10" t="str">
        <x:v>R01</x:v>
      </x:c>
      <x:c r="D42" s="10" t="str">
        <x:v>Acquire and review item rights before use</x:v>
      </x:c>
      <x:c r="E42" s="10" t="str">
        <x:v>A05 C02 C03 D05</x:v>
      </x:c>
      <x:c r="F42" s="10" t="str">
        <x:v>https://www.ogj.com/refining-processing/refining/article/17232705/understanding-process-heat-transfer</x:v>
      </x:c>
      <x:c r="G42" s="10" t="str">
        <x:v>Not acquired or processed in this implementation task</x:v>
      </x:c>
    </x:row>
    <x:row r="43" ht="78" customHeight="1">
      <x:c r="A43" s="9" t="str">
        <x:v>N06</x:v>
      </x:c>
      <x:c r="B43" s="9" t="str">
        <x:v>Design, installation pitfalls appear in vac tower retrofit</x:v>
      </x:c>
      <x:c r="C43" s="9" t="str">
        <x:v>R01</x:v>
      </x:c>
      <x:c r="D43" s="9" t="str">
        <x:v>Acquire and review item rights before use</x:v>
      </x:c>
      <x:c r="E43" s="9" t="str">
        <x:v>A05 C02 C03 D05</x:v>
      </x:c>
      <x:c r="F43" s="9" t="str">
        <x:v>https://www.ogj.com/home/article/17238317/design-installation-pitfalls-appear-in-vac-tower-retrofit</x:v>
      </x:c>
      <x:c r="G43" s="9" t="str">
        <x:v>Not acquired or processed in this implementation task</x:v>
      </x:c>
    </x:row>
    <x:row r="44" ht="78" customHeight="1">
      <x:c r="A44" s="10" t="str">
        <x:v>N07</x:v>
      </x:c>
      <x:c r="B44" s="10" t="str">
        <x:v>Inadequate inspection cause of flawed vac tower revamp</x:v>
      </x:c>
      <x:c r="C44" s="10" t="str">
        <x:v>R01</x:v>
      </x:c>
      <x:c r="D44" s="10" t="str">
        <x:v>Acquire and review item rights before use</x:v>
      </x:c>
      <x:c r="E44" s="10" t="str">
        <x:v>A05 C02 C03 D05</x:v>
      </x:c>
      <x:c r="F44" s="10" t="str">
        <x:v>https://www.ogj.com/home/article/17219652/inadequate-inspection-cause-of-flawed-vac-tower-revamp</x:v>
      </x:c>
      <x:c r="G44" s="10" t="str">
        <x:v>Not acquired or processed in this implementation task</x:v>
      </x:c>
    </x:row>
    <x:row r="45" ht="78" customHeight="1">
      <x:c r="A45" s="9" t="str">
        <x:v>N08</x:v>
      </x:c>
      <x:c r="B45" s="9" t="str">
        <x:v>Basic technology can improve refinery profits</x:v>
      </x:c>
      <x:c r="C45" s="9" t="str">
        <x:v>R01</x:v>
      </x:c>
      <x:c r="D45" s="9" t="str">
        <x:v>Acquire and review item rights before use</x:v>
      </x:c>
      <x:c r="E45" s="9" t="str">
        <x:v>A05 C02 C03 D05</x:v>
      </x:c>
      <x:c r="F45" s="9" t="str">
        <x:v>https://www.ogj.com/home/article/17211743/basic-technology-can-improve-refinery-profits</x:v>
      </x:c>
      <x:c r="G45" s="9" t="str">
        <x:v>Not acquired or processed in this implementation task</x:v>
      </x:c>
    </x:row>
    <x:row r="46" ht="78" customHeight="1">
      <x:c r="A46" s="10" t="str">
        <x:v>N09</x:v>
      </x:c>
      <x:c r="B46" s="10" t="str">
        <x:v>Troubleshoot operation of a steam ejector vacuum system</x:v>
      </x:c>
      <x:c r="C46" s="10" t="str">
        <x:v>R11 then R01</x:v>
      </x:c>
      <x:c r="D46" s="10" t="str">
        <x:v>Acquire full exact paper/book/article; previews and catalogs are leads only</x:v>
      </x:c>
      <x:c r="E46" s="10" t="str">
        <x:v>A05 C02 D05</x:v>
      </x:c>
      <x:c r="F46" s="10" t="str">
        <x:v>https://www.hydrocarbonprocessing.com/magazine/2016/february-2016/process-engineering-and-optimization/troubleshoot-operation-of-a-steam-ejector-vacuum-system/</x:v>
      </x:c>
      <x:c r="G46" s="10" t="str">
        <x:v>Not acquired or processed in this implementation task</x:v>
      </x:c>
    </x:row>
    <x:row r="47" ht="78" customHeight="1">
      <x:c r="A47" s="9" t="str">
        <x:v>N10</x:v>
      </x:c>
      <x:c r="B47" s="9" t="str">
        <x:v>Performance testing: The key to successful revamps</x:v>
      </x:c>
      <x:c r="C47" s="9" t="str">
        <x:v>R11 then R01</x:v>
      </x:c>
      <x:c r="D47" s="9" t="str">
        <x:v>Acquire full exact paper/book/article; previews and catalogs are leads only</x:v>
      </x:c>
      <x:c r="E47" s="9" t="str">
        <x:v>A05 C02 D05</x:v>
      </x:c>
      <x:c r="F47" s="9" t="str">
        <x:v>https://www.hydrocarbonprocessing.com/magazine/2017/february-2017/process-optimization/performance-testing-the-key-to-successful-revamps/</x:v>
      </x:c>
      <x:c r="G47" s="9" t="str">
        <x:v>Not acquired or processed in this implementation task</x:v>
      </x:c>
    </x:row>
    <x:row r="48" ht="78" customHeight="1">
      <x:c r="A48" s="10" t="str">
        <x:v>N11</x:v>
      </x:c>
      <x:c r="B48" s="10" t="str">
        <x:v>(25b) Troubleshooting Distillation Problems</x:v>
      </x:c>
      <x:c r="C48" s="10" t="str">
        <x:v>R11 then R01</x:v>
      </x:c>
      <x:c r="D48" s="10" t="str">
        <x:v>Acquire full exact paper/book/article; previews and catalogs are leads only</x:v>
      </x:c>
      <x:c r="E48" s="10" t="str">
        <x:v>A05 C02 D05</x:v>
      </x:c>
      <x:c r="F48" s="10" t="str">
        <x:v>https://proceedings.aiche.org/conferences/aiche-spring-meeting-and-global-congress-on-process-safety/2023/proceeding/paper/25b-troubleshooting-distillation-problems</x:v>
      </x:c>
      <x:c r="G48" s="10" t="str">
        <x:v>Not acquired or processed in this implementation task</x:v>
      </x:c>
    </x:row>
    <x:row r="49" ht="78" customHeight="1">
      <x:c r="A49" s="9" t="str">
        <x:v>N12</x:v>
      </x:c>
      <x:c r="B49" s="9" t="str">
        <x:v>Norm P. Lieberman Video Library of Troubleshooting Process Operations</x:v>
      </x:c>
      <x:c r="C49" s="9" t="str">
        <x:v>R11 then R07</x:v>
      </x:c>
      <x:c r="D49" s="9" t="str">
        <x:v>License recordings, frames and quizzes separately; evaluator quizzes isolated</x:v>
      </x:c>
      <x:c r="E49" s="9" t="str">
        <x:v>A05 C09 D08</x:v>
      </x:c>
      <x:c r="F49" s="9" t="str">
        <x:v>https://lieberman-eng.com/videos.htm</x:v>
      </x:c>
      <x:c r="G49" s="9" t="str">
        <x:v>Not acquired or processed in this implementation task</x:v>
      </x:c>
    </x:row>
    <x:row r="50" ht="78" customHeight="1">
      <x:c r="A50" s="10" t="str">
        <x:v>N13</x:v>
      </x:c>
      <x:c r="B50" s="10" t="str">
        <x:v>A Working Guide to Process Equipment, fifth edition — 26-page preview</x:v>
      </x:c>
      <x:c r="C50" s="10" t="str">
        <x:v>R11 then R01</x:v>
      </x:c>
      <x:c r="D50" s="10" t="str">
        <x:v>Acquire full exact paper/book/article; previews and catalogs are leads only</x:v>
      </x:c>
      <x:c r="E50" s="10" t="str">
        <x:v>A05 C02 D05</x:v>
      </x:c>
      <x:c r="F50" s="10" t="str">
        <x:v>https://lieberman-eng.com/pdfs/A%20Working%20Guide%20To%20Process%20Equipment.pdf</x:v>
      </x:c>
      <x:c r="G50" s="10" t="str">
        <x:v>Not acquired or processed in this implementation task</x:v>
      </x:c>
    </x:row>
    <x:row r="51" ht="78" customHeight="1">
      <x:c r="A51" s="9" t="str">
        <x:v>N14</x:v>
      </x:c>
      <x:c r="B51" s="9" t="str">
        <x:v>Process Improvement Engineering book catalog</x:v>
      </x:c>
      <x:c r="C51" s="9" t="str">
        <x:v>R11 then R01</x:v>
      </x:c>
      <x:c r="D51" s="9" t="str">
        <x:v>Acquire full exact paper/book/article; previews and catalogs are leads only</x:v>
      </x:c>
      <x:c r="E51" s="9" t="str">
        <x:v>A05 C02 D05</x:v>
      </x:c>
      <x:c r="F51" s="9" t="str">
        <x:v>https://www.lieberman-eng.com/books.htm</x:v>
      </x:c>
      <x:c r="G51" s="9" t="str">
        <x:v>Not acquired or processed in this implementation task</x:v>
      </x:c>
    </x:row>
    <x:row r="52" ht="78" customHeight="1">
      <x:c r="A52" s="10" t="str">
        <x:v>N15</x:v>
      </x:c>
      <x:c r="B52" s="10" t="str">
        <x:v>Seminar Presentations</x:v>
      </x:c>
      <x:c r="C52" s="10" t="str">
        <x:v>R11 then R01</x:v>
      </x:c>
      <x:c r="D52" s="10" t="str">
        <x:v>Acquire full exact paper/book/article; previews and catalogs are leads only</x:v>
      </x:c>
      <x:c r="E52" s="10" t="str">
        <x:v>A05 C02 D05</x:v>
      </x:c>
      <x:c r="F52" s="10" t="str">
        <x:v>https://www.lieberman-eng.com/seminars.htm</x:v>
      </x:c>
      <x:c r="G52" s="10" t="str">
        <x:v>Not acquired or processed in this implementation task</x:v>
      </x:c>
    </x:row>
    <x:row r="53" ht="78" customHeight="1">
      <x:c r="A53" s="9" t="str">
        <x:v>N16</x:v>
      </x:c>
      <x:c r="B53" s="9" t="str">
        <x:v>Sour water strippers: design and operation</x:v>
      </x:c>
      <x:c r="C53" s="9" t="str">
        <x:v>R11 then R01</x:v>
      </x:c>
      <x:c r="D53" s="9" t="str">
        <x:v>Acquire full exact paper/book/article; previews and catalogs are leads only</x:v>
      </x:c>
      <x:c r="E53" s="9" t="str">
        <x:v>A05 C02 D05</x:v>
      </x:c>
      <x:c r="F53" s="9" t="str">
        <x:v>https://www.eptq.com/articles/liebermanweb_04042013130338.pdf</x:v>
      </x:c>
      <x:c r="G53" s="9" t="str">
        <x:v>Not acquired or processed in this implementation task</x:v>
      </x:c>
    </x:row>
    <x:row r="54" ht="78" customHeight="1">
      <x:c r="A54" s="10" t="str">
        <x:v>N17</x:v>
      </x:c>
      <x:c r="B54" s="10" t="str">
        <x:v>Troubleshooting Vacuum Systems: Steam Turbine Surface Condensers and Refinery Vacuum Towers</x:v>
      </x:c>
      <x:c r="C54" s="10" t="str">
        <x:v>R11 then R01</x:v>
      </x:c>
      <x:c r="D54" s="10" t="str">
        <x:v>Acquire full exact paper/book/article; previews and catalogs are leads only</x:v>
      </x:c>
      <x:c r="E54" s="10" t="str">
        <x:v>A05 C02 D05</x:v>
      </x:c>
      <x:c r="F54" s="10" t="str">
        <x:v>https://www.wiley-vch.de/en/areas-interest/engineering/troubleshooting-vacuum-systems-978-1-118-29034-7</x:v>
      </x:c>
      <x:c r="G54" s="10" t="str">
        <x:v>Not acquired or processed in this implementation task</x:v>
      </x:c>
    </x:row>
    <x:row r="55" ht="78" customHeight="1">
      <x:c r="A55" s="9" t="str">
        <x:v>N18</x:v>
      </x:c>
      <x:c r="B55" s="9" t="str">
        <x:v>Understanding, preventing corrosion in refineries</x:v>
      </x:c>
      <x:c r="C55" s="9" t="str">
        <x:v>R01</x:v>
      </x:c>
      <x:c r="D55" s="9" t="str">
        <x:v>Acquire and review item rights before use</x:v>
      </x:c>
      <x:c r="E55" s="9" t="str">
        <x:v>A05 C02 C03 D05</x:v>
      </x:c>
      <x:c r="F55" s="9" t="str">
        <x:v>https://www.ogj.com/refining-processing/refining/article/17222725/understanding-preventing-corrosion-in-refineries</x:v>
      </x:c>
      <x:c r="G55" s="9" t="str">
        <x:v>Not acquired or processed in this implementation task</x:v>
      </x:c>
    </x:row>
    <x:row r="56" ht="78" customHeight="1">
      <x:c r="A56" s="10" t="str">
        <x:v>N19</x:v>
      </x:c>
      <x:c r="B56" s="10" t="str">
        <x:v>Troubleshooting steam ejectors</x:v>
      </x:c>
      <x:c r="C56" s="10" t="str">
        <x:v>R11 then R01</x:v>
      </x:c>
      <x:c r="D56" s="10" t="str">
        <x:v>Acquire full exact paper/book/article; previews and catalogs are leads only</x:v>
      </x:c>
      <x:c r="E56" s="10" t="str">
        <x:v>A05 C02 D05</x:v>
      </x:c>
      <x:c r="F56" s="10" t="str">
        <x:v>https://www.eptq.com/digitalPTQ/2014%20ptq%20q4/2014%20ptq%20q4_opf_files/pdfs/2014%20ptq%20q4__.pdf</x:v>
      </x:c>
      <x:c r="G56" s="10" t="str">
        <x:v>Not acquired or processed in this implementation task</x:v>
      </x:c>
    </x:row>
  </x:sheetData>
  <x:pageMargins left="0.7" right="0.7" top="0.75" bottom="0.75" header="0.3" footer="0.3"/>
  <x:tableParts count="1">
    <x:tablePart xmlns:r="http://schemas.openxmlformats.org/officeDocument/2006/relationships" r:id="R936b741e0a5b44a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43" hidden="0" customWidth="1"/>
    <x:col min="4" max="4" width="95" hidden="0" customWidth="1"/>
    <x:col min="5" max="5" width="68" hidden="0" customWidth="1"/>
    <x:col min="6" max="6" width="62" hidden="0" customWidth="1"/>
    <x:col min="7" max="7" width="63" hidden="0" customWidth="1"/>
    <x:col min="8" max="8" width="27" hidden="0" customWidth="1"/>
  </x:cols>
  <x:sheetData>
    <x:row r="1" ht="27" customHeight="1">
      <x:c r="A1" s="2" t="str">
        <x:v>Processing recipes by input format</x:v>
      </x:c>
      <x:c r="B1" s="1"/>
      <x:c r="C1" s="1"/>
      <x:c r="D1" s="1"/>
      <x:c r="E1" s="1"/>
      <x:c r="F1" s="1"/>
      <x:c r="G1" s="1"/>
      <x:c r="H1" s="1"/>
    </x:row>
    <x:row r="2" ht="28" customHeight="1">
      <x:c r="A2" s="3" t="str">
        <x:v>Raw formats are preserved; reviewed derivatives are routed separately to retrieval, training and evaluation.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7" t="str">
        <x:v>Recipe</x:v>
      </x:c>
      <x:c r="B5" s="7" t="str">
        <x:v>Input type</x:v>
      </x:c>
      <x:c r="C5" s="7" t="str">
        <x:v>Accepted source formats</x:v>
      </x:c>
      <x:c r="D5" s="7" t="str">
        <x:v>Processing steps</x:v>
      </x:c>
      <x:c r="E5" s="7" t="str">
        <x:v>Output formats</x:v>
      </x:c>
      <x:c r="F5" s="7" t="str">
        <x:v>Permitted destination after clearance</x:v>
      </x:c>
      <x:c r="G5" s="7" t="str">
        <x:v>Quality check</x:v>
      </x:c>
      <x:c r="H5" s="7" t="str">
        <x:v>Task IDs</x:v>
      </x:c>
    </x:row>
    <x:row r="6" ht="115" customHeight="1">
      <x:c r="A6" s="10" t="str">
        <x:v>R01</x:v>
      </x:c>
      <x:c r="B6" s="10" t="str">
        <x:v>Digital PDF or licensed article</x:v>
      </x:c>
      <x:c r="C6" s="10" t="str">
        <x:v>PDF; authorized HTML capture</x:v>
      </x:c>
      <x:c r="D6" s="10" t="str">
        <x:v>Preserve binary and rights; extract native text, tables, headings, page regions and figures; compare reading order; strip navigation, not source qualifications.</x:v>
      </x:c>
      <x:c r="E6" s="10" t="str">
        <x:v>JSONL evidence; Markdown review view; PNG figures; cell-structured tables</x:v>
      </x:c>
      <x:c r="F6" s="10" t="str">
        <x:v>Retrieval after clearance; SFT only from reviewed case records</x:v>
      </x:c>
      <x:c r="G6" s="10" t="str">
        <x:v>Pages complete; units and tables match; article boundaries exact</x:v>
      </x:c>
      <x:c r="H6" s="10" t="str">
        <x:v>C01 C03 C10</x:v>
      </x:c>
    </x:row>
    <x:row r="7" ht="115" customHeight="1">
      <x:c r="A7" s="9" t="str">
        <x:v>R02</x:v>
      </x:c>
      <x:c r="B7" s="9" t="str">
        <x:v>Scanned PDF or handwritten paper</x:v>
      </x:c>
      <x:c r="C7" s="9" t="str">
        <x:v>Original PDF TIFF JPEG PNG</x:v>
      </x:c>
      <x:c r="D7" s="9" t="str">
        <x:v>Render about 300 dpi; save orientation transform; OCR to region records; retain original plus derivative; verify handwriting and critical symbols manually.</x:v>
      </x:c>
      <x:c r="E7" s="9" t="str">
        <x:v>PNG pages/crops; OCR JSON with boxes and quality flags</x:v>
      </x:c>
      <x:c r="F7" s="9" t="str">
        <x:v>Retrieval and reviewed image/text examples</x:v>
      </x:c>
      <x:c r="G7" s="9" t="str">
        <x:v>Unreadable values remain unknown; no invented characters</x:v>
      </x:c>
      <x:c r="H7" s="9" t="str">
        <x:v>C04 C06 C10</x:v>
      </x:c>
    </x:row>
    <x:row r="8" ht="115" customHeight="1">
      <x:c r="A8" s="10" t="str">
        <x:v>R03</x:v>
      </x:c>
      <x:c r="B8" s="10" t="str">
        <x:v>Work paper or seminar slides</x:v>
      </x:c>
      <x:c r="C8" s="10" t="str">
        <x:v>DOCX PPTX and linked assets</x:v>
      </x:c>
      <x:c r="D8" s="10" t="str">
        <x:v>Extract paragraphs, tables, slide notes and images; retain revisions, authorship and slide anchors; export fixed-layout preview for review.</x:v>
      </x:c>
      <x:c r="E8" s="10" t="str">
        <x:v>JSONL evidence; PNG figure/slide; review Markdown</x:v>
      </x:c>
      <x:c r="F8" s="10" t="str">
        <x:v>Reviewed retrieval and training when specifically permitted</x:v>
      </x:c>
      <x:c r="G8" s="10" t="str">
        <x:v>Notes/comments policy explicit; formulas and diagram captions retained</x:v>
      </x:c>
      <x:c r="H8" s="10" t="str">
        <x:v>C05 C10</x:v>
      </x:c>
    </x:row>
    <x:row r="9" ht="115" customHeight="1">
      <x:c r="A9" s="9" t="str">
        <x:v>R04</x:v>
      </x:c>
      <x:c r="B9" s="9" t="str">
        <x:v>Private email or public Q and A thread</x:v>
      </x:c>
      <x:c r="C9" s="9" t="str">
        <x:v>EML MBOX; MSG only via approved export</x:v>
      </x:c>
      <x:c r="D9" s="9" t="str">
        <x:v>Preserve message IDs, order, timestamps and attachments; remove repeated quotes with pointers; redact personal data; label question-time evidence versus subsequent resolution.</x:v>
      </x:c>
      <x:c r="E9" s="9" t="str">
        <x:v>Thread JSONL; redacted text; attachment assets</x:v>
      </x:c>
      <x:c r="F9" s="9" t="str">
        <x:v>Case reconstruction only after sender/client/content rights</x:v>
      </x:c>
      <x:c r="G9" s="9" t="str">
        <x:v>No later answer leaked into diagnostic prompt; attachments separately admitted</x:v>
      </x:c>
      <x:c r="H9" s="9" t="str">
        <x:v>C07 D01</x:v>
      </x:c>
    </x:row>
    <x:row r="10" ht="115" customHeight="1">
      <x:c r="A10" s="10" t="str">
        <x:v>R05</x:v>
      </x:c>
      <x:c r="B10" s="10" t="str">
        <x:v>Diagram or equipment photograph</x:v>
      </x:c>
      <x:c r="C10" s="10" t="str">
        <x:v>Original CAD/PDF and PNG/TIFF/JPEG export</x:v>
      </x:c>
      <x:c r="D10" s="10" t="str">
        <x:v>Keep native original; select overview and bounded crops; annotate tags, values, arrows, regions and legibility; attach revision and equipment context.</x:v>
      </x:c>
      <x:c r="E10" s="10" t="str">
        <x:v>RGB PNG/JPEG plus region/edge JSONL</x:v>
      </x:c>
      <x:c r="F10" s="10" t="str">
        <x:v>Visual evidence retrieval and paired SFT examples</x:v>
      </x:c>
      <x:c r="G10" s="10" t="str">
        <x:v>No hidden connectivity inferred; CAD properties not assumed from pixels</x:v>
      </x:c>
      <x:c r="H10" s="10" t="str">
        <x:v>C06</x:v>
      </x:c>
    </x:row>
    <x:row r="11" ht="115" customHeight="1">
      <x:c r="A11" s="9" t="str">
        <x:v>R06</x:v>
      </x:c>
      <x:c r="B11" s="9" t="str">
        <x:v>Historian trend or tabular measurements</x:v>
      </x:c>
      <x:c r="C11" s="9" t="str">
        <x:v>CSV XLSX Parquet approved historian export</x:v>
      </x:c>
      <x:c r="D11" s="9" t="str">
        <x:v>Capture units, timezone, gauge/absolute basis, quality and missing values; retain raw observations; validate transformations; plot from checked numeric data.</x:v>
      </x:c>
      <x:c r="E11" s="9" t="str">
        <x:v>Parquet numeric table; JSON dictionary; optional PNG plot</x:v>
      </x:c>
      <x:c r="F11" s="9" t="str">
        <x:v>Numeric tools plus reviewed visual examples</x:v>
      </x:c>
      <x:c r="G11" s="9" t="str">
        <x:v>Original numeric values preferred over digitized chart estimates</x:v>
      </x:c>
      <x:c r="H11" s="9" t="str">
        <x:v>C08</x:v>
      </x:c>
    </x:row>
    <x:row r="12" ht="115" customHeight="1">
      <x:c r="A12" s="10" t="str">
        <x:v>R07</x:v>
      </x:c>
      <x:c r="B12" s="10" t="str">
        <x:v>Interview audio or instructional video</x:v>
      </x:c>
      <x:c r="C12" s="10" t="str">
        <x:v>WAV MP3 M4A MP4 original</x:v>
      </x:c>
      <x:c r="D12" s="10" t="str">
        <x:v>Record consent; transcribe with timestamps and speaker IDs; expert-correct terminology; sample meaningful frames; pair frame/time and transcript.</x:v>
      </x:c>
      <x:c r="E12" s="10" t="str">
        <x:v>Transcript JSONL; selected PNGs; original recording</x:v>
      </x:c>
      <x:c r="F12" s="10" t="str">
        <x:v>Text/visual curriculum; no raw audio training in release 1</x:v>
      </x:c>
      <x:c r="G12" s="10" t="str">
        <x:v>Instructor clears transcript and selected frames; no voice cloning</x:v>
      </x:c>
      <x:c r="H12" s="10" t="str">
        <x:v>C09</x:v>
      </x:c>
    </x:row>
    <x:row r="13" ht="115" customHeight="1">
      <x:c r="A13" s="9" t="str">
        <x:v>R08</x:v>
      </x:c>
      <x:c r="B13" s="9" t="str">
        <x:v>Hugging Face instruction dataset</x:v>
      </x:c>
      <x:c r="C13" s="9" t="str">
        <x:v>Pinned JSON JSONL CSV Parquet or Arrow snapshot</x:v>
      </x:c>
      <x:c r="D13" s="9" t="str">
        <x:v>Review dataset and underlying source grants; inspect schema and examples; map to canonical fields; group source families; verify every domain answer; run dedup.</x:v>
      </x:c>
      <x:c r="E13" s="9" t="str">
        <x:v>Approved canonical JSONL and image assets</x:v>
      </x:c>
      <x:c r="F13" s="9" t="str">
        <x:v>Only admitted task-relevant records; held sources stay excluded</x:v>
      </x:c>
      <x:c r="G13" s="9" t="str">
        <x:v>Dataset-card label alone is insufficient source lineage</x:v>
      </x:c>
      <x:c r="H13" s="9" t="str">
        <x:v>D05 D09 D10</x:v>
      </x:c>
    </x:row>
    <x:row r="14" ht="115" customHeight="1">
      <x:c r="A14" s="10" t="str">
        <x:v>R09</x:v>
      </x:c>
      <x:c r="B14" s="10" t="str">
        <x:v>Foundation model or embedding model</x:v>
      </x:c>
      <x:c r="C14" s="10" t="str">
        <x:v>Safetensors shards and JSON/tokenizer/processor files</x:v>
      </x:c>
      <x:c r="D14" s="10" t="str">
        <x:v>Resolve full commit; preserve license/card; download pinned files; hash; load in isolated compatible environment; test image/text and adapter paths.</x:v>
      </x:c>
      <x:c r="E14" s="10" t="str">
        <x:v>Pinned model directory plus manifest</x:v>
      </x:c>
      <x:c r="F14" s="10" t="str">
        <x:v>Model runtime; never ingest weights as document content</x:v>
      </x:c>
      <x:c r="G14" s="10" t="str">
        <x:v>Exact model, tokenizer and processor revisions work together</x:v>
      </x:c>
      <x:c r="H14" s="10" t="str">
        <x:v>B02 B03 B04 B05 B06 B07</x:v>
      </x:c>
    </x:row>
    <x:row r="15" ht="115" customHeight="1">
      <x:c r="A15" s="9" t="str">
        <x:v>R10</x:v>
      </x:c>
      <x:c r="B15" s="9" t="str">
        <x:v>Engineering software or property data</x:v>
      </x:c>
      <x:c r="C15" s="9" t="str">
        <x:v>Pinned source/package; licensed property tables</x:v>
      </x:c>
      <x:c r="D15" s="9" t="str">
        <x:v>Audit license/backends; limit fluids/equations/ranges; validate independent cases; expose typed checked calculation tool.</x:v>
      </x:c>
      <x:c r="E15" s="9" t="str">
        <x:v>Tool JSON schema; versioned runtime; golden fixtures</x:v>
      </x:c>
      <x:c r="F15" s="9" t="str">
        <x:v>Tool execution and checked synthetic examples</x:v>
      </x:c>
      <x:c r="G15" s="9" t="str">
        <x:v>Model does not invent property values or trust unvalidated simulation</x:v>
      </x:c>
      <x:c r="H15" s="9" t="str">
        <x:v>E03</x:v>
      </x:c>
    </x:row>
    <x:row r="16" ht="115" customHeight="1">
      <x:c r="A16" s="10" t="str">
        <x:v>R11</x:v>
      </x:c>
      <x:c r="B16" s="10" t="str">
        <x:v>Catalog preview bibliography or unavailable paper</x:v>
      </x:c>
      <x:c r="C16" s="10" t="str">
        <x:v>URL metadata and authorized preview</x:v>
      </x:c>
      <x:c r="D16" s="10" t="str">
        <x:v>Record title, authors, edition and rights contact; seek full authoritative asset; keep catalog text out of technical case labels.</x:v>
      </x:c>
      <x:c r="E16" s="10" t="str">
        <x:v>Acquisition lead only</x:v>
      </x:c>
      <x:c r="F16" s="10" t="str">
        <x:v>No technical training until full asset and rights admitted</x:v>
      </x:c>
      <x:c r="G16" s="10" t="str">
        <x:v>No preview presented as full book or paper</x:v>
      </x:c>
      <x:c r="H16" s="10" t="str">
        <x:v>A04 A05 C02</x:v>
      </x:c>
    </x:row>
    <x:row r="17" ht="115" customHeight="1">
      <x:c r="A17" s="9" t="str">
        <x:v>R12</x:v>
      </x:c>
      <x:c r="B17" s="9" t="str">
        <x:v>Held benchmark or later practice source</x:v>
      </x:c>
      <x:c r="C17" s="9" t="str">
        <x:v>Source metadata only at this stage</x:v>
      </x:c>
      <x:c r="D17" s="9" t="str">
        <x:v>Keep excluded/NC/unknown-lineage material out; evaluate future domain fit and permissions separately; benchmarks never enter training.</x:v>
      </x:c>
      <x:c r="E17" s="9" t="str">
        <x:v>Hold record or evaluator-only dataset after clearance</x:v>
      </x:c>
      <x:c r="F17" s="9" t="str">
        <x:v>Deferred or evaluation only</x:v>
      </x:c>
      <x:c r="G17" s="9" t="str">
        <x:v>No upstream competence inferred from refining evaluation</x:v>
      </x:c>
      <x:c r="H17" s="9" t="str">
        <x:v>A04 A05 D09</x:v>
      </x:c>
    </x:row>
  </x:sheetData>
  <x:pageMargins left="0.7" right="0.7" top="0.75" bottom="0.75" header="0.3" footer="0.3"/>
  <x:tableParts count="1">
    <x:tablePart xmlns:r="http://schemas.openxmlformats.org/officeDocument/2006/relationships" r:id="R3ff7e24d9b5f41c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6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2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</x:cols>
  <x:sheetData>
    <x:row r="1" ht="27" customHeight="1">
      <x:c r="A1" s="2" t="str">
        <x:v>Resource capacity and workload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</x:row>
    <x:row r="2" ht="28" customHeight="1">
      <x:c r="A2" s="3" t="str">
        <x:v>Inputs are planning hours and peak weekly availability. MD/CD/technical peaks require explicit reservation; experts form a pool.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</x:row>
    <x:row r="5" ht="38" customHeight="1">
      <x:c r="A5" s="7" t="str">
        <x:v>Code</x:v>
      </x:c>
      <x:c r="B5" s="7" t="str">
        <x:v>Role</x:v>
      </x:c>
      <x:c r="C5" s="7" t="str">
        <x:v>Planning hours</x:v>
      </x:c>
      <x:c r="D5" s="7" t="str">
        <x:v>Assigned hours</x:v>
      </x:c>
      <x:c r="E5" s="7" t="str">
        <x:v>Unassigned hours</x:v>
      </x:c>
      <x:c r="F5" s="7" t="str">
        <x:v>Weekly peak capacity</x:v>
      </x:c>
      <x:c r="G5" s="7" t="str">
        <x:v>Peak scheduled hours</x:v>
      </x:c>
      <x:c r="H5" s="7" t="str">
        <x:v>Capacity review</x:v>
      </x:c>
      <x:c r="I5" s="7" t="n">
        <x:v>1</x:v>
      </x:c>
      <x:c r="J5" s="7" t="n">
        <x:v>2</x:v>
      </x:c>
      <x:c r="K5" s="7" t="n">
        <x:v>3</x:v>
      </x:c>
      <x:c r="L5" s="7" t="n">
        <x:v>4</x:v>
      </x:c>
      <x:c r="M5" s="7" t="n">
        <x:v>5</x:v>
      </x:c>
      <x:c r="N5" s="7" t="n">
        <x:v>6</x:v>
      </x:c>
      <x:c r="O5" s="7" t="n">
        <x:v>7</x:v>
      </x:c>
      <x:c r="P5" s="7" t="n">
        <x:v>8</x:v>
      </x:c>
      <x:c r="Q5" s="7" t="n">
        <x:v>9</x:v>
      </x:c>
      <x:c r="R5" s="7" t="n">
        <x:v>10</x:v>
      </x:c>
      <x:c r="S5" s="7" t="n">
        <x:v>11</x:v>
      </x:c>
      <x:c r="T5" s="7" t="n">
        <x:v>12</x:v>
      </x:c>
      <x:c r="U5" s="7" t="n">
        <x:v>13</x:v>
      </x:c>
      <x:c r="V5" s="7" t="n">
        <x:v>14</x:v>
      </x:c>
      <x:c r="W5" s="7" t="n">
        <x:v>15</x:v>
      </x:c>
      <x:c r="X5" s="7" t="n">
        <x:v>16</x:v>
      </x:c>
      <x:c r="Y5" s="7" t="n">
        <x:v>17</x:v>
      </x:c>
      <x:c r="Z5" s="7" t="n">
        <x:v>18</x:v>
      </x:c>
      <x:c r="AA5" s="7" t="n">
        <x:v>19</x:v>
      </x:c>
      <x:c r="AB5" s="7" t="n">
        <x:v>20</x:v>
      </x:c>
      <x:c r="AC5" s="7" t="n">
        <x:v>21</x:v>
      </x:c>
      <x:c r="AD5" s="7" t="n">
        <x:v>22</x:v>
      </x:c>
      <x:c r="AE5" s="7" t="n">
        <x:v>23</x:v>
      </x:c>
      <x:c r="AF5" s="7" t="n">
        <x:v>24</x:v>
      </x:c>
      <x:c r="AG5" s="7" t="n">
        <x:v>25</x:v>
      </x:c>
      <x:c r="AH5" s="7" t="n">
        <x:v>26</x:v>
      </x:c>
      <x:c r="AI5" s="7" t="n">
        <x:v>27</x:v>
      </x:c>
      <x:c r="AJ5" s="7" t="n">
        <x:v>28</x:v>
      </x:c>
      <x:c r="AK5" s="7" t="n">
        <x:v>29</x:v>
      </x:c>
      <x:c r="AL5" s="7" t="n">
        <x:v>30</x:v>
      </x:c>
      <x:c r="AM5" s="7" t="n">
        <x:v>31</x:v>
      </x:c>
      <x:c r="AN5" s="7" t="n">
        <x:v>32</x:v>
      </x:c>
      <x:c r="AO5" s="7" t="n">
        <x:v>33</x:v>
      </x:c>
      <x:c r="AP5" s="7" t="n">
        <x:v>34</x:v>
      </x:c>
      <x:c r="AQ5" s="7" t="n">
        <x:v>35</x:v>
      </x:c>
      <x:c r="AR5" s="7" t="n">
        <x:v>36</x:v>
      </x:c>
    </x:row>
    <x:row r="6" ht="52" customHeight="1">
      <x:c r="A6" s="10" t="str">
        <x:v>MD</x:v>
      </x:c>
      <x:c r="B6" s="10" t="str">
        <x:v>Managing Director</x:v>
      </x:c>
      <x:c r="C6" s="41" t="n">
        <x:v>240</x:v>
      </x:c>
      <x:c r="D6" s="39" t="n">
        <x:f>SUMIF('Weekly effort'!$B$6:$B$145,$A6,'Weekly effort'!$D$6:$D$145)</x:f>
        <x:v>70</x:v>
      </x:c>
      <x:c r="E6" s="39" t="n">
        <x:f>C6-D6</x:f>
        <x:v>170</x:v>
      </x:c>
      <x:c r="F6" s="41" t="n">
        <x:v>40</x:v>
      </x:c>
      <x:c r="G6" s="39" t="n">
        <x:f>MAX(I6:AR6)</x:f>
        <x:v>20</x:v>
      </x:c>
      <x:c r="H6" s="39" t="str">
        <x:f>IF(G6&gt;F6+0.01,"Review capacity","Within peak limit")</x:f>
        <x:v>Within peak limit</x:v>
      </x:c>
      <x:c r="I6" s="39" t="n">
        <x:f>SUMIF('Weekly effort'!$B$6:$B$145,$A6,'Weekly effort'!H$6:H$145)</x:f>
        <x:v>17</x:v>
      </x:c>
      <x:c r="J6" s="39" t="n">
        <x:f>SUMIF('Weekly effort'!$B$6:$B$145,$A6,'Weekly effort'!I$6:I$145)</x:f>
        <x:v>20</x:v>
      </x:c>
      <x:c r="K6" s="39" t="n">
        <x:f>SUMIF('Weekly effort'!$B$6:$B$145,$A6,'Weekly effort'!J$6:J$145)</x:f>
        <x:v>2</x:v>
      </x:c>
      <x:c r="L6" s="39" t="n">
        <x:f>SUMIF('Weekly effort'!$B$6:$B$145,$A6,'Weekly effort'!K$6:K$145)</x:f>
        <x:v>1</x:v>
      </x:c>
      <x:c r="M6" s="39" t="n">
        <x:f>SUMIF('Weekly effort'!$B$6:$B$145,$A6,'Weekly effort'!L$6:L$145)</x:f>
        <x:v>0</x:v>
      </x:c>
      <x:c r="N6" s="39" t="n">
        <x:f>SUMIF('Weekly effort'!$B$6:$B$145,$A6,'Weekly effort'!M$6:M$145)</x:f>
        <x:v>0</x:v>
      </x:c>
      <x:c r="O6" s="39" t="n">
        <x:f>SUMIF('Weekly effort'!$B$6:$B$145,$A6,'Weekly effort'!N$6:N$145)</x:f>
        <x:v>0</x:v>
      </x:c>
      <x:c r="P6" s="39" t="n">
        <x:f>SUMIF('Weekly effort'!$B$6:$B$145,$A6,'Weekly effort'!O$6:O$145)</x:f>
        <x:v>0</x:v>
      </x:c>
      <x:c r="Q6" s="39" t="n">
        <x:f>SUMIF('Weekly effort'!$B$6:$B$145,$A6,'Weekly effort'!P$6:P$145)</x:f>
        <x:v>0</x:v>
      </x:c>
      <x:c r="R6" s="39" t="n">
        <x:f>SUMIF('Weekly effort'!$B$6:$B$145,$A6,'Weekly effort'!Q$6:Q$145)</x:f>
        <x:v>1.44</x:v>
      </x:c>
      <x:c r="S6" s="39" t="n">
        <x:f>SUMIF('Weekly effort'!$B$6:$B$145,$A6,'Weekly effort'!R$6:R$145)</x:f>
        <x:v>2.4</x:v>
      </x:c>
      <x:c r="T6" s="39" t="n">
        <x:f>SUMIF('Weekly effort'!$B$6:$B$145,$A6,'Weekly effort'!S$6:S$145)</x:f>
        <x:v>6.4</x:v>
      </x:c>
      <x:c r="U6" s="39" t="n">
        <x:f>SUMIF('Weekly effort'!$B$6:$B$145,$A6,'Weekly effort'!T$6:T$145)</x:f>
        <x:v>2.4</x:v>
      </x:c>
      <x:c r="V6" s="39" t="n">
        <x:f>SUMIF('Weekly effort'!$B$6:$B$145,$A6,'Weekly effort'!U$6:U$145)</x:f>
        <x:v>2.4</x:v>
      </x:c>
      <x:c r="W6" s="39" t="n">
        <x:f>SUMIF('Weekly effort'!$B$6:$B$145,$A6,'Weekly effort'!V$6:V$145)</x:f>
        <x:v>0.96</x:v>
      </x:c>
      <x:c r="X6" s="39" t="n">
        <x:f>SUMIF('Weekly effort'!$B$6:$B$145,$A6,'Weekly effort'!W$6:W$145)</x:f>
        <x:v>0</x:v>
      </x:c>
      <x:c r="Y6" s="39" t="n">
        <x:f>SUMIF('Weekly effort'!$B$6:$B$145,$A6,'Weekly effort'!X$6:X$145)</x:f>
        <x:v>0</x:v>
      </x:c>
      <x:c r="Z6" s="39" t="n">
        <x:f>SUMIF('Weekly effort'!$B$6:$B$145,$A6,'Weekly effort'!Y$6:Y$145)</x:f>
        <x:v>0</x:v>
      </x:c>
      <x:c r="AA6" s="39" t="n">
        <x:f>SUMIF('Weekly effort'!$B$6:$B$145,$A6,'Weekly effort'!Z$6:Z$145)</x:f>
        <x:v>0</x:v>
      </x:c>
      <x:c r="AB6" s="39" t="n">
        <x:f>SUMIF('Weekly effort'!$B$6:$B$145,$A6,'Weekly effort'!AA$6:AA$145)</x:f>
        <x:v>0</x:v>
      </x:c>
      <x:c r="AC6" s="39" t="n">
        <x:f>SUMIF('Weekly effort'!$B$6:$B$145,$A6,'Weekly effort'!AB$6:AB$145)</x:f>
        <x:v>0</x:v>
      </x:c>
      <x:c r="AD6" s="39" t="n">
        <x:f>SUMIF('Weekly effort'!$B$6:$B$145,$A6,'Weekly effort'!AC$6:AC$145)</x:f>
        <x:v>0</x:v>
      </x:c>
      <x:c r="AE6" s="39" t="n">
        <x:f>SUMIF('Weekly effort'!$B$6:$B$145,$A6,'Weekly effort'!AD$6:AD$145)</x:f>
        <x:v>0</x:v>
      </x:c>
      <x:c r="AF6" s="39" t="n">
        <x:f>SUMIF('Weekly effort'!$B$6:$B$145,$A6,'Weekly effort'!AE$6:AE$145)</x:f>
        <x:v>0</x:v>
      </x:c>
      <x:c r="AG6" s="39" t="n">
        <x:f>SUMIF('Weekly effort'!$B$6:$B$145,$A6,'Weekly effort'!AF$6:AF$145)</x:f>
        <x:v>0</x:v>
      </x:c>
      <x:c r="AH6" s="39" t="n">
        <x:f>SUMIF('Weekly effort'!$B$6:$B$145,$A6,'Weekly effort'!AG$6:AG$145)</x:f>
        <x:v>0</x:v>
      </x:c>
      <x:c r="AI6" s="39" t="n">
        <x:f>SUMIF('Weekly effort'!$B$6:$B$145,$A6,'Weekly effort'!AH$6:AH$145)</x:f>
        <x:v>4</x:v>
      </x:c>
      <x:c r="AJ6" s="39" t="n">
        <x:f>SUMIF('Weekly effort'!$B$6:$B$145,$A6,'Weekly effort'!AI$6:AI$145)</x:f>
        <x:v>0</x:v>
      </x:c>
      <x:c r="AK6" s="39" t="n">
        <x:f>SUMIF('Weekly effort'!$B$6:$B$145,$A6,'Weekly effort'!AJ$6:AJ$145)</x:f>
        <x:v>0</x:v>
      </x:c>
      <x:c r="AL6" s="39" t="n">
        <x:f>SUMIF('Weekly effort'!$B$6:$B$145,$A6,'Weekly effort'!AK$6:AK$145)</x:f>
        <x:v>0</x:v>
      </x:c>
      <x:c r="AM6" s="39" t="n">
        <x:f>SUMIF('Weekly effort'!$B$6:$B$145,$A6,'Weekly effort'!AL$6:AL$145)</x:f>
        <x:v>10</x:v>
      </x:c>
      <x:c r="AN6" s="39" t="n">
        <x:f>SUMIF('Weekly effort'!$B$6:$B$145,$A6,'Weekly effort'!AM$6:AM$145)</x:f>
        <x:v>0</x:v>
      </x:c>
      <x:c r="AO6" s="39" t="n">
        <x:f>SUMIF('Weekly effort'!$B$6:$B$145,$A6,'Weekly effort'!AN$6:AN$145)</x:f>
        <x:v>0</x:v>
      </x:c>
      <x:c r="AP6" s="39" t="n">
        <x:f>SUMIF('Weekly effort'!$B$6:$B$145,$A6,'Weekly effort'!AO$6:AO$145)</x:f>
        <x:v>0</x:v>
      </x:c>
      <x:c r="AQ6" s="39" t="n">
        <x:f>SUMIF('Weekly effort'!$B$6:$B$145,$A6,'Weekly effort'!AP$6:AP$145)</x:f>
        <x:v>0</x:v>
      </x:c>
      <x:c r="AR6" s="39" t="n">
        <x:f>SUMIF('Weekly effort'!$B$6:$B$145,$A6,'Weekly effort'!AQ$6:AQ$145)</x:f>
        <x:v>0</x:v>
      </x:c>
    </x:row>
    <x:row r="7" ht="52" customHeight="1">
      <x:c r="A7" s="9" t="str">
        <x:v>CD</x:v>
      </x:c>
      <x:c r="B7" s="9" t="str">
        <x:v>Commercial Director</x:v>
      </x:c>
      <x:c r="C7" s="41" t="n">
        <x:v>240</x:v>
      </x:c>
      <x:c r="D7" s="40" t="n">
        <x:f>SUMIF('Weekly effort'!$B$6:$B$145,$A7,'Weekly effort'!$D$6:$D$145)</x:f>
        <x:v>58</x:v>
      </x:c>
      <x:c r="E7" s="40" t="n">
        <x:f>C7-D7</x:f>
        <x:v>182</x:v>
      </x:c>
      <x:c r="F7" s="41" t="n">
        <x:v>40</x:v>
      </x:c>
      <x:c r="G7" s="40" t="n">
        <x:f>MAX(I7:AR7)</x:f>
        <x:v>14</x:v>
      </x:c>
      <x:c r="H7" s="40" t="str">
        <x:f>IF(G7&gt;F7+0.01,"Review capacity","Within peak limit")</x:f>
        <x:v>Within peak limit</x:v>
      </x:c>
      <x:c r="I7" s="40" t="n">
        <x:f>SUMIF('Weekly effort'!$B$6:$B$145,$A7,'Weekly effort'!H$6:H$145)</x:f>
        <x:v>12</x:v>
      </x:c>
      <x:c r="J7" s="40" t="n">
        <x:f>SUMIF('Weekly effort'!$B$6:$B$145,$A7,'Weekly effort'!I$6:I$145)</x:f>
        <x:v>12</x:v>
      </x:c>
      <x:c r="K7" s="40" t="n">
        <x:f>SUMIF('Weekly effort'!$B$6:$B$145,$A7,'Weekly effort'!J$6:J$145)</x:f>
        <x:v>0</x:v>
      </x:c>
      <x:c r="L7" s="40" t="n">
        <x:f>SUMIF('Weekly effort'!$B$6:$B$145,$A7,'Weekly effort'!K$6:K$145)</x:f>
        <x:v>0</x:v>
      </x:c>
      <x:c r="M7" s="40" t="n">
        <x:f>SUMIF('Weekly effort'!$B$6:$B$145,$A7,'Weekly effort'!L$6:L$145)</x:f>
        <x:v>0</x:v>
      </x:c>
      <x:c r="N7" s="40" t="n">
        <x:f>SUMIF('Weekly effort'!$B$6:$B$145,$A7,'Weekly effort'!M$6:M$145)</x:f>
        <x:v>0</x:v>
      </x:c>
      <x:c r="O7" s="40" t="n">
        <x:f>SUMIF('Weekly effort'!$B$6:$B$145,$A7,'Weekly effort'!N$6:N$145)</x:f>
        <x:v>0</x:v>
      </x:c>
      <x:c r="P7" s="40" t="n">
        <x:f>SUMIF('Weekly effort'!$B$6:$B$145,$A7,'Weekly effort'!O$6:O$145)</x:f>
        <x:v>0</x:v>
      </x:c>
      <x:c r="Q7" s="40" t="n">
        <x:f>SUMIF('Weekly effort'!$B$6:$B$145,$A7,'Weekly effort'!P$6:P$145)</x:f>
        <x:v>0</x:v>
      </x:c>
      <x:c r="R7" s="40" t="n">
        <x:f>SUMIF('Weekly effort'!$B$6:$B$145,$A7,'Weekly effort'!Q$6:Q$145)</x:f>
        <x:v>0</x:v>
      </x:c>
      <x:c r="S7" s="40" t="n">
        <x:f>SUMIF('Weekly effort'!$B$6:$B$145,$A7,'Weekly effort'!R$6:R$145)</x:f>
        <x:v>0</x:v>
      </x:c>
      <x:c r="T7" s="40" t="n">
        <x:f>SUMIF('Weekly effort'!$B$6:$B$145,$A7,'Weekly effort'!S$6:S$145)</x:f>
        <x:v>0</x:v>
      </x:c>
      <x:c r="U7" s="40" t="n">
        <x:f>SUMIF('Weekly effort'!$B$6:$B$145,$A7,'Weekly effort'!T$6:T$145)</x:f>
        <x:v>0</x:v>
      </x:c>
      <x:c r="V7" s="40" t="n">
        <x:f>SUMIF('Weekly effort'!$B$6:$B$145,$A7,'Weekly effort'!U$6:U$145)</x:f>
        <x:v>0</x:v>
      </x:c>
      <x:c r="W7" s="40" t="n">
        <x:f>SUMIF('Weekly effort'!$B$6:$B$145,$A7,'Weekly effort'!V$6:V$145)</x:f>
        <x:v>0</x:v>
      </x:c>
      <x:c r="X7" s="40" t="n">
        <x:f>SUMIF('Weekly effort'!$B$6:$B$145,$A7,'Weekly effort'!W$6:W$145)</x:f>
        <x:v>0</x:v>
      </x:c>
      <x:c r="Y7" s="40" t="n">
        <x:f>SUMIF('Weekly effort'!$B$6:$B$145,$A7,'Weekly effort'!X$6:X$145)</x:f>
        <x:v>0</x:v>
      </x:c>
      <x:c r="Z7" s="40" t="n">
        <x:f>SUMIF('Weekly effort'!$B$6:$B$145,$A7,'Weekly effort'!Y$6:Y$145)</x:f>
        <x:v>0</x:v>
      </x:c>
      <x:c r="AA7" s="40" t="n">
        <x:f>SUMIF('Weekly effort'!$B$6:$B$145,$A7,'Weekly effort'!Z$6:Z$145)</x:f>
        <x:v>0</x:v>
      </x:c>
      <x:c r="AB7" s="40" t="n">
        <x:f>SUMIF('Weekly effort'!$B$6:$B$145,$A7,'Weekly effort'!AA$6:AA$145)</x:f>
        <x:v>0</x:v>
      </x:c>
      <x:c r="AC7" s="40" t="n">
        <x:f>SUMIF('Weekly effort'!$B$6:$B$145,$A7,'Weekly effort'!AB$6:AB$145)</x:f>
        <x:v>0</x:v>
      </x:c>
      <x:c r="AD7" s="40" t="n">
        <x:f>SUMIF('Weekly effort'!$B$6:$B$145,$A7,'Weekly effort'!AC$6:AC$145)</x:f>
        <x:v>0</x:v>
      </x:c>
      <x:c r="AE7" s="40" t="n">
        <x:f>SUMIF('Weekly effort'!$B$6:$B$145,$A7,'Weekly effort'!AD$6:AD$145)</x:f>
        <x:v>0</x:v>
      </x:c>
      <x:c r="AF7" s="40" t="n">
        <x:f>SUMIF('Weekly effort'!$B$6:$B$145,$A7,'Weekly effort'!AE$6:AE$145)</x:f>
        <x:v>3.2</x:v>
      </x:c>
      <x:c r="AG7" s="40" t="n">
        <x:f>SUMIF('Weekly effort'!$B$6:$B$145,$A7,'Weekly effort'!AF$6:AF$145)</x:f>
        <x:v>4.8</x:v>
      </x:c>
      <x:c r="AH7" s="40" t="n">
        <x:f>SUMIF('Weekly effort'!$B$6:$B$145,$A7,'Weekly effort'!AG$6:AG$145)</x:f>
        <x:v>0</x:v>
      </x:c>
      <x:c r="AI7" s="40" t="n">
        <x:f>SUMIF('Weekly effort'!$B$6:$B$145,$A7,'Weekly effort'!AH$6:AH$145)</x:f>
        <x:v>12</x:v>
      </x:c>
      <x:c r="AJ7" s="40" t="n">
        <x:f>SUMIF('Weekly effort'!$B$6:$B$145,$A7,'Weekly effort'!AI$6:AI$145)</x:f>
        <x:v>14</x:v>
      </x:c>
      <x:c r="AK7" s="40" t="n">
        <x:f>SUMIF('Weekly effort'!$B$6:$B$145,$A7,'Weekly effort'!AJ$6:AJ$145)</x:f>
        <x:v>0</x:v>
      </x:c>
      <x:c r="AL7" s="40" t="n">
        <x:f>SUMIF('Weekly effort'!$B$6:$B$145,$A7,'Weekly effort'!AK$6:AK$145)</x:f>
        <x:v>0</x:v>
      </x:c>
      <x:c r="AM7" s="40" t="n">
        <x:f>SUMIF('Weekly effort'!$B$6:$B$145,$A7,'Weekly effort'!AL$6:AL$145)</x:f>
        <x:v>0</x:v>
      </x:c>
      <x:c r="AN7" s="40" t="n">
        <x:f>SUMIF('Weekly effort'!$B$6:$B$145,$A7,'Weekly effort'!AM$6:AM$145)</x:f>
        <x:v>0</x:v>
      </x:c>
      <x:c r="AO7" s="40" t="n">
        <x:f>SUMIF('Weekly effort'!$B$6:$B$145,$A7,'Weekly effort'!AN$6:AN$145)</x:f>
        <x:v>0</x:v>
      </x:c>
      <x:c r="AP7" s="40" t="n">
        <x:f>SUMIF('Weekly effort'!$B$6:$B$145,$A7,'Weekly effort'!AO$6:AO$145)</x:f>
        <x:v>0</x:v>
      </x:c>
      <x:c r="AQ7" s="40" t="n">
        <x:f>SUMIF('Weekly effort'!$B$6:$B$145,$A7,'Weekly effort'!AP$6:AP$145)</x:f>
        <x:v>0</x:v>
      </x:c>
      <x:c r="AR7" s="40" t="n">
        <x:f>SUMIF('Weekly effort'!$B$6:$B$145,$A7,'Weekly effort'!AQ$6:AQ$145)</x:f>
        <x:v>0</x:v>
      </x:c>
    </x:row>
    <x:row r="8" ht="52" customHeight="1">
      <x:c r="A8" s="10" t="str">
        <x:v>TD</x:v>
      </x:c>
      <x:c r="B8" s="10" t="str">
        <x:v>Technical Director</x:v>
      </x:c>
      <x:c r="C8" s="41" t="n">
        <x:v>480</x:v>
      </x:c>
      <x:c r="D8" s="39" t="n">
        <x:f>SUMIF('Weekly effort'!$B$6:$B$145,$A8,'Weekly effort'!$D$6:$D$145)</x:f>
        <x:v>184</x:v>
      </x:c>
      <x:c r="E8" s="39" t="n">
        <x:f>C8-D8</x:f>
        <x:v>296</x:v>
      </x:c>
      <x:c r="F8" s="41" t="n">
        <x:v>40</x:v>
      </x:c>
      <x:c r="G8" s="39" t="n">
        <x:f>MAX(I8:AR8)</x:f>
        <x:v>20</x:v>
      </x:c>
      <x:c r="H8" s="39" t="str">
        <x:f>IF(G8&gt;F8+0.01,"Review capacity","Within peak limit")</x:f>
        <x:v>Within peak limit</x:v>
      </x:c>
      <x:c r="I8" s="39" t="n">
        <x:f>SUMIF('Weekly effort'!$B$6:$B$145,$A8,'Weekly effort'!H$6:H$145)</x:f>
        <x:v>11.6</x:v>
      </x:c>
      <x:c r="J8" s="39" t="n">
        <x:f>SUMIF('Weekly effort'!$B$6:$B$145,$A8,'Weekly effort'!I$6:I$145)</x:f>
        <x:v>14.4</x:v>
      </x:c>
      <x:c r="K8" s="39" t="n">
        <x:f>SUMIF('Weekly effort'!$B$6:$B$145,$A8,'Weekly effort'!J$6:J$145)</x:f>
        <x:v>0</x:v>
      </x:c>
      <x:c r="L8" s="39" t="n">
        <x:f>SUMIF('Weekly effort'!$B$6:$B$145,$A8,'Weekly effort'!K$6:K$145)</x:f>
        <x:v>0</x:v>
      </x:c>
      <x:c r="M8" s="39" t="n">
        <x:f>SUMIF('Weekly effort'!$B$6:$B$145,$A8,'Weekly effort'!L$6:L$145)</x:f>
        <x:v>0</x:v>
      </x:c>
      <x:c r="N8" s="39" t="n">
        <x:f>SUMIF('Weekly effort'!$B$6:$B$145,$A8,'Weekly effort'!M$6:M$145)</x:f>
        <x:v>0</x:v>
      </x:c>
      <x:c r="O8" s="39" t="n">
        <x:f>SUMIF('Weekly effort'!$B$6:$B$145,$A8,'Weekly effort'!N$6:N$145)</x:f>
        <x:v>16.5</x:v>
      </x:c>
      <x:c r="P8" s="39" t="n">
        <x:f>SUMIF('Weekly effort'!$B$6:$B$145,$A8,'Weekly effort'!O$6:O$145)</x:f>
        <x:v>13.5</x:v>
      </x:c>
      <x:c r="Q8" s="39" t="n">
        <x:f>SUMIF('Weekly effort'!$B$6:$B$145,$A8,'Weekly effort'!P$6:P$145)</x:f>
        <x:v>0</x:v>
      </x:c>
      <x:c r="R8" s="39" t="n">
        <x:f>SUMIF('Weekly effort'!$B$6:$B$145,$A8,'Weekly effort'!Q$6:Q$145)</x:f>
        <x:v>14.285714285714286</x:v>
      </x:c>
      <x:c r="S8" s="39" t="n">
        <x:f>SUMIF('Weekly effort'!$B$6:$B$145,$A8,'Weekly effort'!R$6:R$145)</x:f>
        <x:v>13.714285714285714</x:v>
      </x:c>
      <x:c r="T8" s="39" t="n">
        <x:f>SUMIF('Weekly effort'!$B$6:$B$145,$A8,'Weekly effort'!S$6:S$145)</x:f>
        <x:v>4</x:v>
      </x:c>
      <x:c r="U8" s="39" t="n">
        <x:f>SUMIF('Weekly effort'!$B$6:$B$145,$A8,'Weekly effort'!T$6:T$145)</x:f>
        <x:v>0</x:v>
      </x:c>
      <x:c r="V8" s="39" t="n">
        <x:f>SUMIF('Weekly effort'!$B$6:$B$145,$A8,'Weekly effort'!U$6:U$145)</x:f>
        <x:v>2.6666666666666665</x:v>
      </x:c>
      <x:c r="W8" s="39" t="n">
        <x:f>SUMIF('Weekly effort'!$B$6:$B$145,$A8,'Weekly effort'!V$6:V$145)</x:f>
        <x:v>5.333333333333333</x:v>
      </x:c>
      <x:c r="X8" s="39" t="n">
        <x:f>SUMIF('Weekly effort'!$B$6:$B$145,$A8,'Weekly effort'!W$6:W$145)</x:f>
        <x:v>0</x:v>
      </x:c>
      <x:c r="Y8" s="39" t="n">
        <x:f>SUMIF('Weekly effort'!$B$6:$B$145,$A8,'Weekly effort'!X$6:X$145)</x:f>
        <x:v>0</x:v>
      </x:c>
      <x:c r="Z8" s="39" t="n">
        <x:f>SUMIF('Weekly effort'!$B$6:$B$145,$A8,'Weekly effort'!Y$6:Y$145)</x:f>
        <x:v>0</x:v>
      </x:c>
      <x:c r="AA8" s="39" t="n">
        <x:f>SUMIF('Weekly effort'!$B$6:$B$145,$A8,'Weekly effort'!Z$6:Z$145)</x:f>
        <x:v>12</x:v>
      </x:c>
      <x:c r="AB8" s="39" t="n">
        <x:f>SUMIF('Weekly effort'!$B$6:$B$145,$A8,'Weekly effort'!AA$6:AA$145)</x:f>
        <x:v>20</x:v>
      </x:c>
      <x:c r="AC8" s="39" t="n">
        <x:f>SUMIF('Weekly effort'!$B$6:$B$145,$A8,'Weekly effort'!AB$6:AB$145)</x:f>
        <x:v>8</x:v>
      </x:c>
      <x:c r="AD8" s="39" t="n">
        <x:f>SUMIF('Weekly effort'!$B$6:$B$145,$A8,'Weekly effort'!AC$6:AC$145)</x:f>
        <x:v>2</x:v>
      </x:c>
      <x:c r="AE8" s="39" t="n">
        <x:f>SUMIF('Weekly effort'!$B$6:$B$145,$A8,'Weekly effort'!AD$6:AD$145)</x:f>
        <x:v>7</x:v>
      </x:c>
      <x:c r="AF8" s="39" t="n">
        <x:f>SUMIF('Weekly effort'!$B$6:$B$145,$A8,'Weekly effort'!AE$6:AE$145)</x:f>
        <x:v>11.2</x:v>
      </x:c>
      <x:c r="AG8" s="39" t="n">
        <x:f>SUMIF('Weekly effort'!$B$6:$B$145,$A8,'Weekly effort'!AF$6:AF$145)</x:f>
        <x:v>16.8</x:v>
      </x:c>
      <x:c r="AH8" s="39" t="n">
        <x:f>SUMIF('Weekly effort'!$B$6:$B$145,$A8,'Weekly effort'!AG$6:AG$145)</x:f>
        <x:v>1.3333333333333333</x:v>
      </x:c>
      <x:c r="AI8" s="39" t="n">
        <x:f>SUMIF('Weekly effort'!$B$6:$B$145,$A8,'Weekly effort'!AH$6:AH$145)</x:f>
        <x:v>5.333333333333333</x:v>
      </x:c>
      <x:c r="AJ8" s="39" t="n">
        <x:f>SUMIF('Weekly effort'!$B$6:$B$145,$A8,'Weekly effort'!AI$6:AI$145)</x:f>
        <x:v>1.3333333333333333</x:v>
      </x:c>
      <x:c r="AK8" s="39" t="n">
        <x:f>SUMIF('Weekly effort'!$B$6:$B$145,$A8,'Weekly effort'!AJ$6:AJ$145)</x:f>
        <x:v>0</x:v>
      </x:c>
      <x:c r="AL8" s="39" t="n">
        <x:f>SUMIF('Weekly effort'!$B$6:$B$145,$A8,'Weekly effort'!AK$6:AK$145)</x:f>
        <x:v>0</x:v>
      </x:c>
      <x:c r="AM8" s="39" t="n">
        <x:f>SUMIF('Weekly effort'!$B$6:$B$145,$A8,'Weekly effort'!AL$6:AL$145)</x:f>
        <x:v>3</x:v>
      </x:c>
      <x:c r="AN8" s="39" t="n">
        <x:f>SUMIF('Weekly effort'!$B$6:$B$145,$A8,'Weekly effort'!AM$6:AM$145)</x:f>
        <x:v>0</x:v>
      </x:c>
      <x:c r="AO8" s="39" t="n">
        <x:f>SUMIF('Weekly effort'!$B$6:$B$145,$A8,'Weekly effort'!AN$6:AN$145)</x:f>
        <x:v>0</x:v>
      </x:c>
      <x:c r="AP8" s="39" t="n">
        <x:f>SUMIF('Weekly effort'!$B$6:$B$145,$A8,'Weekly effort'!AO$6:AO$145)</x:f>
        <x:v>0</x:v>
      </x:c>
      <x:c r="AQ8" s="39" t="n">
        <x:f>SUMIF('Weekly effort'!$B$6:$B$145,$A8,'Weekly effort'!AP$6:AP$145)</x:f>
        <x:v>0</x:v>
      </x:c>
      <x:c r="AR8" s="39" t="n">
        <x:f>SUMIF('Weekly effort'!$B$6:$B$145,$A8,'Weekly effort'!AQ$6:AQ$145)</x:f>
        <x:v>0</x:v>
      </x:c>
    </x:row>
    <x:row r="9" ht="52" customHeight="1">
      <x:c r="A9" s="9" t="str">
        <x:v>PAE</x:v>
      </x:c>
      <x:c r="B9" s="9" t="str">
        <x:v>Process Applications Engineer</x:v>
      </x:c>
      <x:c r="C9" s="41" t="n">
        <x:v>720</x:v>
      </x:c>
      <x:c r="D9" s="40" t="n">
        <x:f>SUMIF('Weekly effort'!$B$6:$B$145,$A9,'Weekly effort'!$D$6:$D$145)</x:f>
        <x:v>230</x:v>
      </x:c>
      <x:c r="E9" s="40" t="n">
        <x:f>C9-D9</x:f>
        <x:v>490</x:v>
      </x:c>
      <x:c r="F9" s="41" t="n">
        <x:v>40</x:v>
      </x:c>
      <x:c r="G9" s="40" t="n">
        <x:f>MAX(I9:AR9)</x:f>
        <x:v>32.142857142857146</x:v>
      </x:c>
      <x:c r="H9" s="40" t="str">
        <x:f>IF(G9&gt;F9+0.01,"Review capacity","Within peak limit")</x:f>
        <x:v>Within peak limit</x:v>
      </x:c>
      <x:c r="I9" s="40" t="n">
        <x:f>SUMIF('Weekly effort'!$B$6:$B$145,$A9,'Weekly effort'!H$6:H$145)</x:f>
        <x:v>0</x:v>
      </x:c>
      <x:c r="J9" s="40" t="n">
        <x:f>SUMIF('Weekly effort'!$B$6:$B$145,$A9,'Weekly effort'!I$6:I$145)</x:f>
        <x:v>0</x:v>
      </x:c>
      <x:c r="K9" s="40" t="n">
        <x:f>SUMIF('Weekly effort'!$B$6:$B$145,$A9,'Weekly effort'!J$6:J$145)</x:f>
        <x:v>0</x:v>
      </x:c>
      <x:c r="L9" s="40" t="n">
        <x:f>SUMIF('Weekly effort'!$B$6:$B$145,$A9,'Weekly effort'!K$6:K$145)</x:f>
        <x:v>21</x:v>
      </x:c>
      <x:c r="M9" s="40" t="n">
        <x:f>SUMIF('Weekly effort'!$B$6:$B$145,$A9,'Weekly effort'!L$6:L$145)</x:f>
        <x:v>31</x:v>
      </x:c>
      <x:c r="N9" s="40" t="n">
        <x:f>SUMIF('Weekly effort'!$B$6:$B$145,$A9,'Weekly effort'!M$6:M$145)</x:f>
        <x:v>29.6</x:v>
      </x:c>
      <x:c r="O9" s="40" t="n">
        <x:f>SUMIF('Weekly effort'!$B$6:$B$145,$A9,'Weekly effort'!N$6:N$145)</x:f>
        <x:v>27.9</x:v>
      </x:c>
      <x:c r="P9" s="40" t="n">
        <x:f>SUMIF('Weekly effort'!$B$6:$B$145,$A9,'Weekly effort'!O$6:O$145)</x:f>
        <x:v>16.5</x:v>
      </x:c>
      <x:c r="Q9" s="40" t="n">
        <x:f>SUMIF('Weekly effort'!$B$6:$B$145,$A9,'Weekly effort'!P$6:P$145)</x:f>
        <x:v>0</x:v>
      </x:c>
      <x:c r="R9" s="40" t="n">
        <x:f>SUMIF('Weekly effort'!$B$6:$B$145,$A9,'Weekly effort'!Q$6:Q$145)</x:f>
        <x:v>4.5</x:v>
      </x:c>
      <x:c r="S9" s="40" t="n">
        <x:f>SUMIF('Weekly effort'!$B$6:$B$145,$A9,'Weekly effort'!R$6:R$145)</x:f>
        <x:v>1.5</x:v>
      </x:c>
      <x:c r="T9" s="40" t="n">
        <x:f>SUMIF('Weekly effort'!$B$6:$B$145,$A9,'Weekly effort'!S$6:S$145)</x:f>
        <x:v>0</x:v>
      </x:c>
      <x:c r="U9" s="40" t="n">
        <x:f>SUMIF('Weekly effort'!$B$6:$B$145,$A9,'Weekly effort'!T$6:T$145)</x:f>
        <x:v>4</x:v>
      </x:c>
      <x:c r="V9" s="40" t="n">
        <x:f>SUMIF('Weekly effort'!$B$6:$B$145,$A9,'Weekly effort'!U$6:U$145)</x:f>
        <x:v>4</x:v>
      </x:c>
      <x:c r="W9" s="40" t="n">
        <x:f>SUMIF('Weekly effort'!$B$6:$B$145,$A9,'Weekly effort'!V$6:V$145)</x:f>
        <x:v>0</x:v>
      </x:c>
      <x:c r="X9" s="40" t="n">
        <x:f>SUMIF('Weekly effort'!$B$6:$B$145,$A9,'Weekly effort'!W$6:W$145)</x:f>
        <x:v>0</x:v>
      </x:c>
      <x:c r="Y9" s="40" t="n">
        <x:f>SUMIF('Weekly effort'!$B$6:$B$145,$A9,'Weekly effort'!X$6:X$145)</x:f>
        <x:v>0</x:v>
      </x:c>
      <x:c r="Z9" s="40" t="n">
        <x:f>SUMIF('Weekly effort'!$B$6:$B$145,$A9,'Weekly effort'!Y$6:Y$145)</x:f>
        <x:v>0</x:v>
      </x:c>
      <x:c r="AA9" s="40" t="n">
        <x:f>SUMIF('Weekly effort'!$B$6:$B$145,$A9,'Weekly effort'!Z$6:Z$145)</x:f>
        <x:v>0</x:v>
      </x:c>
      <x:c r="AB9" s="40" t="n">
        <x:f>SUMIF('Weekly effort'!$B$6:$B$145,$A9,'Weekly effort'!AA$6:AA$145)</x:f>
        <x:v>0</x:v>
      </x:c>
      <x:c r="AC9" s="40" t="n">
        <x:f>SUMIF('Weekly effort'!$B$6:$B$145,$A9,'Weekly effort'!AB$6:AB$145)</x:f>
        <x:v>0</x:v>
      </x:c>
      <x:c r="AD9" s="40" t="n">
        <x:f>SUMIF('Weekly effort'!$B$6:$B$145,$A9,'Weekly effort'!AC$6:AC$145)</x:f>
        <x:v>0</x:v>
      </x:c>
      <x:c r="AE9" s="40" t="n">
        <x:f>SUMIF('Weekly effort'!$B$6:$B$145,$A9,'Weekly effort'!AD$6:AD$145)</x:f>
        <x:v>0</x:v>
      </x:c>
      <x:c r="AF9" s="40" t="n">
        <x:f>SUMIF('Weekly effort'!$B$6:$B$145,$A9,'Weekly effort'!AE$6:AE$145)</x:f>
        <x:v>0</x:v>
      </x:c>
      <x:c r="AG9" s="40" t="n">
        <x:f>SUMIF('Weekly effort'!$B$6:$B$145,$A9,'Weekly effort'!AF$6:AF$145)</x:f>
        <x:v>0</x:v>
      </x:c>
      <x:c r="AH9" s="40" t="n">
        <x:f>SUMIF('Weekly effort'!$B$6:$B$145,$A9,'Weekly effort'!AG$6:AG$145)</x:f>
        <x:v>0</x:v>
      </x:c>
      <x:c r="AI9" s="40" t="n">
        <x:f>SUMIF('Weekly effort'!$B$6:$B$145,$A9,'Weekly effort'!AH$6:AH$145)</x:f>
        <x:v>0</x:v>
      </x:c>
      <x:c r="AJ9" s="40" t="n">
        <x:f>SUMIF('Weekly effort'!$B$6:$B$145,$A9,'Weekly effort'!AI$6:AI$145)</x:f>
        <x:v>25.714285714285715</x:v>
      </x:c>
      <x:c r="AK9" s="40" t="n">
        <x:f>SUMIF('Weekly effort'!$B$6:$B$145,$A9,'Weekly effort'!AJ$6:AJ$145)</x:f>
        <x:v>32.142857142857146</x:v>
      </x:c>
      <x:c r="AL9" s="40" t="n">
        <x:f>SUMIF('Weekly effort'!$B$6:$B$145,$A9,'Weekly effort'!AK$6:AK$145)</x:f>
        <x:v>32.142857142857146</x:v>
      </x:c>
      <x:c r="AM9" s="40" t="n">
        <x:f>SUMIF('Weekly effort'!$B$6:$B$145,$A9,'Weekly effort'!AL$6:AL$145)</x:f>
        <x:v>0</x:v>
      </x:c>
      <x:c r="AN9" s="40" t="n">
        <x:f>SUMIF('Weekly effort'!$B$6:$B$145,$A9,'Weekly effort'!AM$6:AM$145)</x:f>
        <x:v>0</x:v>
      </x:c>
      <x:c r="AO9" s="40" t="n">
        <x:f>SUMIF('Weekly effort'!$B$6:$B$145,$A9,'Weekly effort'!AN$6:AN$145)</x:f>
        <x:v>0</x:v>
      </x:c>
      <x:c r="AP9" s="40" t="n">
        <x:f>SUMIF('Weekly effort'!$B$6:$B$145,$A9,'Weekly effort'!AO$6:AO$145)</x:f>
        <x:v>0</x:v>
      </x:c>
      <x:c r="AQ9" s="40" t="n">
        <x:f>SUMIF('Weekly effort'!$B$6:$B$145,$A9,'Weekly effort'!AP$6:AP$145)</x:f>
        <x:v>0</x:v>
      </x:c>
      <x:c r="AR9" s="40" t="n">
        <x:f>SUMIF('Weekly effort'!$B$6:$B$145,$A9,'Weekly effort'!AQ$6:AQ$145)</x:f>
        <x:v>0</x:v>
      </x:c>
    </x:row>
    <x:row r="10" ht="52" customHeight="1">
      <x:c r="A10" s="10" t="str">
        <x:v>HP</x:v>
      </x:c>
      <x:c r="B10" s="10" t="str">
        <x:v>Head of Product and AI</x:v>
      </x:c>
      <x:c r="C10" s="41" t="n">
        <x:v>480</x:v>
      </x:c>
      <x:c r="D10" s="39" t="n">
        <x:f>SUMIF('Weekly effort'!$B$6:$B$145,$A10,'Weekly effort'!$D$6:$D$145)</x:f>
        <x:v>136</x:v>
      </x:c>
      <x:c r="E10" s="39" t="n">
        <x:f>C10-D10</x:f>
        <x:v>344</x:v>
      </x:c>
      <x:c r="F10" s="41" t="n">
        <x:v>40</x:v>
      </x:c>
      <x:c r="G10" s="39" t="n">
        <x:f>MAX(I10:AR10)</x:f>
        <x:v>21.6</x:v>
      </x:c>
      <x:c r="H10" s="39" t="str">
        <x:f>IF(G10&gt;F10+0.01,"Review capacity","Within peak limit")</x:f>
        <x:v>Within peak limit</x:v>
      </x:c>
      <x:c r="I10" s="39" t="n">
        <x:f>SUMIF('Weekly effort'!$B$6:$B$145,$A10,'Weekly effort'!H$6:H$145)</x:f>
        <x:v>21.6</x:v>
      </x:c>
      <x:c r="J10" s="39" t="n">
        <x:f>SUMIF('Weekly effort'!$B$6:$B$145,$A10,'Weekly effort'!I$6:I$145)</x:f>
        <x:v>10.4</x:v>
      </x:c>
      <x:c r="K10" s="39" t="n">
        <x:f>SUMIF('Weekly effort'!$B$6:$B$145,$A10,'Weekly effort'!J$6:J$145)</x:f>
        <x:v>4</x:v>
      </x:c>
      <x:c r="L10" s="39" t="n">
        <x:f>SUMIF('Weekly effort'!$B$6:$B$145,$A10,'Weekly effort'!K$6:K$145)</x:f>
        <x:v>0</x:v>
      </x:c>
      <x:c r="M10" s="39" t="n">
        <x:f>SUMIF('Weekly effort'!$B$6:$B$145,$A10,'Weekly effort'!L$6:L$145)</x:f>
        <x:v>0</x:v>
      </x:c>
      <x:c r="N10" s="39" t="n">
        <x:f>SUMIF('Weekly effort'!$B$6:$B$145,$A10,'Weekly effort'!M$6:M$145)</x:f>
        <x:v>0</x:v>
      </x:c>
      <x:c r="O10" s="39" t="n">
        <x:f>SUMIF('Weekly effort'!$B$6:$B$145,$A10,'Weekly effort'!N$6:N$145)</x:f>
        <x:v>0</x:v>
      </x:c>
      <x:c r="P10" s="39" t="n">
        <x:f>SUMIF('Weekly effort'!$B$6:$B$145,$A10,'Weekly effort'!O$6:O$145)</x:f>
        <x:v>0</x:v>
      </x:c>
      <x:c r="Q10" s="39" t="n">
        <x:f>SUMIF('Weekly effort'!$B$6:$B$145,$A10,'Weekly effort'!P$6:P$145)</x:f>
        <x:v>0</x:v>
      </x:c>
      <x:c r="R10" s="39" t="n">
        <x:f>SUMIF('Weekly effort'!$B$6:$B$145,$A10,'Weekly effort'!Q$6:Q$145)</x:f>
        <x:v>4</x:v>
      </x:c>
      <x:c r="S10" s="39" t="n">
        <x:f>SUMIF('Weekly effort'!$B$6:$B$145,$A10,'Weekly effort'!R$6:R$145)</x:f>
        <x:v>0</x:v>
      </x:c>
      <x:c r="T10" s="39" t="n">
        <x:f>SUMIF('Weekly effort'!$B$6:$B$145,$A10,'Weekly effort'!S$6:S$145)</x:f>
        <x:v>13</x:v>
      </x:c>
      <x:c r="U10" s="39" t="n">
        <x:f>SUMIF('Weekly effort'!$B$6:$B$145,$A10,'Weekly effort'!T$6:T$145)</x:f>
        <x:v>0</x:v>
      </x:c>
      <x:c r="V10" s="39" t="n">
        <x:f>SUMIF('Weekly effort'!$B$6:$B$145,$A10,'Weekly effort'!U$6:U$145)</x:f>
        <x:v>14</x:v>
      </x:c>
      <x:c r="W10" s="39" t="n">
        <x:f>SUMIF('Weekly effort'!$B$6:$B$145,$A10,'Weekly effort'!V$6:V$145)</x:f>
        <x:v>0</x:v>
      </x:c>
      <x:c r="X10" s="39" t="n">
        <x:f>SUMIF('Weekly effort'!$B$6:$B$145,$A10,'Weekly effort'!W$6:W$145)</x:f>
        <x:v>0</x:v>
      </x:c>
      <x:c r="Y10" s="39" t="n">
        <x:f>SUMIF('Weekly effort'!$B$6:$B$145,$A10,'Weekly effort'!X$6:X$145)</x:f>
        <x:v>0.6666666666666666</x:v>
      </x:c>
      <x:c r="Z10" s="39" t="n">
        <x:f>SUMIF('Weekly effort'!$B$6:$B$145,$A10,'Weekly effort'!Y$6:Y$145)</x:f>
        <x:v>3.3333333333333335</x:v>
      </x:c>
      <x:c r="AA10" s="39" t="n">
        <x:f>SUMIF('Weekly effort'!$B$6:$B$145,$A10,'Weekly effort'!Z$6:Z$145)</x:f>
        <x:v>3.3333333333333335</x:v>
      </x:c>
      <x:c r="AB10" s="39" t="n">
        <x:f>SUMIF('Weekly effort'!$B$6:$B$145,$A10,'Weekly effort'!AA$6:AA$145)</x:f>
        <x:v>0.6666666666666666</x:v>
      </x:c>
      <x:c r="AC10" s="39" t="n">
        <x:f>SUMIF('Weekly effort'!$B$6:$B$145,$A10,'Weekly effort'!AB$6:AB$145)</x:f>
        <x:v>0</x:v>
      </x:c>
      <x:c r="AD10" s="39" t="n">
        <x:f>SUMIF('Weekly effort'!$B$6:$B$145,$A10,'Weekly effort'!AC$6:AC$145)</x:f>
        <x:v>0</x:v>
      </x:c>
      <x:c r="AE10" s="39" t="n">
        <x:f>SUMIF('Weekly effort'!$B$6:$B$145,$A10,'Weekly effort'!AD$6:AD$145)</x:f>
        <x:v>7</x:v>
      </x:c>
      <x:c r="AF10" s="39" t="n">
        <x:f>SUMIF('Weekly effort'!$B$6:$B$145,$A10,'Weekly effort'!AE$6:AE$145)</x:f>
        <x:v>8</x:v>
      </x:c>
      <x:c r="AG10" s="39" t="n">
        <x:f>SUMIF('Weekly effort'!$B$6:$B$145,$A10,'Weekly effort'!AF$6:AF$145)</x:f>
        <x:v>12</x:v>
      </x:c>
      <x:c r="AH10" s="39" t="n">
        <x:f>SUMIF('Weekly effort'!$B$6:$B$145,$A10,'Weekly effort'!AG$6:AG$145)</x:f>
        <x:v>3.3333333333333335</x:v>
      </x:c>
      <x:c r="AI10" s="39" t="n">
        <x:f>SUMIF('Weekly effort'!$B$6:$B$145,$A10,'Weekly effort'!AH$6:AH$145)</x:f>
        <x:v>8.666666666666668</x:v>
      </x:c>
      <x:c r="AJ10" s="39" t="n">
        <x:f>SUMIF('Weekly effort'!$B$6:$B$145,$A10,'Weekly effort'!AI$6:AI$145)</x:f>
        <x:v>20</x:v>
      </x:c>
      <x:c r="AK10" s="39" t="n">
        <x:f>SUMIF('Weekly effort'!$B$6:$B$145,$A10,'Weekly effort'!AJ$6:AJ$145)</x:f>
        <x:v>0</x:v>
      </x:c>
      <x:c r="AL10" s="39" t="n">
        <x:f>SUMIF('Weekly effort'!$B$6:$B$145,$A10,'Weekly effort'!AK$6:AK$145)</x:f>
        <x:v>0</x:v>
      </x:c>
      <x:c r="AM10" s="39" t="n">
        <x:f>SUMIF('Weekly effort'!$B$6:$B$145,$A10,'Weekly effort'!AL$6:AL$145)</x:f>
        <x:v>2</x:v>
      </x:c>
      <x:c r="AN10" s="39" t="n">
        <x:f>SUMIF('Weekly effort'!$B$6:$B$145,$A10,'Weekly effort'!AM$6:AM$145)</x:f>
        <x:v>0</x:v>
      </x:c>
      <x:c r="AO10" s="39" t="n">
        <x:f>SUMIF('Weekly effort'!$B$6:$B$145,$A10,'Weekly effort'!AN$6:AN$145)</x:f>
        <x:v>0</x:v>
      </x:c>
      <x:c r="AP10" s="39" t="n">
        <x:f>SUMIF('Weekly effort'!$B$6:$B$145,$A10,'Weekly effort'!AO$6:AO$145)</x:f>
        <x:v>0</x:v>
      </x:c>
      <x:c r="AQ10" s="39" t="n">
        <x:f>SUMIF('Weekly effort'!$B$6:$B$145,$A10,'Weekly effort'!AP$6:AP$145)</x:f>
        <x:v>0</x:v>
      </x:c>
      <x:c r="AR10" s="39" t="n">
        <x:f>SUMIF('Weekly effort'!$B$6:$B$145,$A10,'Weekly effort'!AQ$6:AQ$145)</x:f>
        <x:v>0</x:v>
      </x:c>
    </x:row>
    <x:row r="11" ht="52" customHeight="1">
      <x:c r="A11" s="9" t="str">
        <x:v>AI</x:v>
      </x:c>
      <x:c r="B11" s="9" t="str">
        <x:v>Applied AI Engineer</x:v>
      </x:c>
      <x:c r="C11" s="41" t="n">
        <x:v>960</x:v>
      </x:c>
      <x:c r="D11" s="40" t="n">
        <x:f>SUMIF('Weekly effort'!$B$6:$B$145,$A11,'Weekly effort'!$D$6:$D$145)</x:f>
        <x:v>447</x:v>
      </x:c>
      <x:c r="E11" s="40" t="n">
        <x:f>C11-D11</x:f>
        <x:v>513</x:v>
      </x:c>
      <x:c r="F11" s="41" t="n">
        <x:v>40</x:v>
      </x:c>
      <x:c r="G11" s="40" t="n">
        <x:f>MAX(I11:AR11)</x:f>
        <x:v>32</x:v>
      </x:c>
      <x:c r="H11" s="40" t="str">
        <x:f>IF(G11&gt;F11+0.01,"Review capacity","Within peak limit")</x:f>
        <x:v>Within peak limit</x:v>
      </x:c>
      <x:c r="I11" s="40" t="n">
        <x:f>SUMIF('Weekly effort'!$B$6:$B$145,$A11,'Weekly effort'!H$6:H$145)</x:f>
        <x:v>12</x:v>
      </x:c>
      <x:c r="J11" s="40" t="n">
        <x:f>SUMIF('Weekly effort'!$B$6:$B$145,$A11,'Weekly effort'!I$6:I$145)</x:f>
        <x:v>31.333333333333336</x:v>
      </x:c>
      <x:c r="K11" s="40" t="n">
        <x:f>SUMIF('Weekly effort'!$B$6:$B$145,$A11,'Weekly effort'!J$6:J$145)</x:f>
        <x:v>30.666666666666668</x:v>
      </x:c>
      <x:c r="L11" s="40" t="n">
        <x:f>SUMIF('Weekly effort'!$B$6:$B$145,$A11,'Weekly effort'!K$6:K$145)</x:f>
        <x:v>32</x:v>
      </x:c>
      <x:c r="M11" s="40" t="n">
        <x:f>SUMIF('Weekly effort'!$B$6:$B$145,$A11,'Weekly effort'!L$6:L$145)</x:f>
        <x:v>0</x:v>
      </x:c>
      <x:c r="N11" s="40" t="n">
        <x:f>SUMIF('Weekly effort'!$B$6:$B$145,$A11,'Weekly effort'!M$6:M$145)</x:f>
        <x:v>5.333333333333333</x:v>
      </x:c>
      <x:c r="O11" s="40" t="n">
        <x:f>SUMIF('Weekly effort'!$B$6:$B$145,$A11,'Weekly effort'!N$6:N$145)</x:f>
        <x:v>10.666666666666666</x:v>
      </x:c>
      <x:c r="P11" s="40" t="n">
        <x:f>SUMIF('Weekly effort'!$B$6:$B$145,$A11,'Weekly effort'!O$6:O$145)</x:f>
        <x:v>15</x:v>
      </x:c>
      <x:c r="Q11" s="40" t="n">
        <x:f>SUMIF('Weekly effort'!$B$6:$B$145,$A11,'Weekly effort'!P$6:P$145)</x:f>
        <x:v>24</x:v>
      </x:c>
      <x:c r="R11" s="40" t="n">
        <x:f>SUMIF('Weekly effort'!$B$6:$B$145,$A11,'Weekly effort'!Q$6:Q$145)</x:f>
        <x:v>18</x:v>
      </x:c>
      <x:c r="S11" s="40" t="n">
        <x:f>SUMIF('Weekly effort'!$B$6:$B$145,$A11,'Weekly effort'!R$6:R$145)</x:f>
        <x:v>22</x:v>
      </x:c>
      <x:c r="T11" s="40" t="n">
        <x:f>SUMIF('Weekly effort'!$B$6:$B$145,$A11,'Weekly effort'!S$6:S$145)</x:f>
        <x:v>0</x:v>
      </x:c>
      <x:c r="U11" s="40" t="n">
        <x:f>SUMIF('Weekly effort'!$B$6:$B$145,$A11,'Weekly effort'!T$6:T$145)</x:f>
        <x:v>26</x:v>
      </x:c>
      <x:c r="V11" s="40" t="n">
        <x:f>SUMIF('Weekly effort'!$B$6:$B$145,$A11,'Weekly effort'!U$6:U$145)</x:f>
        <x:v>14</x:v>
      </x:c>
      <x:c r="W11" s="40" t="n">
        <x:f>SUMIF('Weekly effort'!$B$6:$B$145,$A11,'Weekly effort'!V$6:V$145)</x:f>
        <x:v>24</x:v>
      </x:c>
      <x:c r="X11" s="40" t="n">
        <x:f>SUMIF('Weekly effort'!$B$6:$B$145,$A11,'Weekly effort'!W$6:W$145)</x:f>
        <x:v>20</x:v>
      </x:c>
      <x:c r="Y11" s="40" t="n">
        <x:f>SUMIF('Weekly effort'!$B$6:$B$145,$A11,'Weekly effort'!X$6:X$145)</x:f>
        <x:v>20.333333333333332</x:v>
      </x:c>
      <x:c r="Z11" s="40" t="n">
        <x:f>SUMIF('Weekly effort'!$B$6:$B$145,$A11,'Weekly effort'!Y$6:Y$145)</x:f>
        <x:v>21.666666666666668</x:v>
      </x:c>
      <x:c r="AA11" s="40" t="n">
        <x:f>SUMIF('Weekly effort'!$B$6:$B$145,$A11,'Weekly effort'!Z$6:Z$145)</x:f>
        <x:v>21.666666666666668</x:v>
      </x:c>
      <x:c r="AB11" s="40" t="n">
        <x:f>SUMIF('Weekly effort'!$B$6:$B$145,$A11,'Weekly effort'!AA$6:AA$145)</x:f>
        <x:v>4.333333333333333</x:v>
      </x:c>
      <x:c r="AC11" s="40" t="n">
        <x:f>SUMIF('Weekly effort'!$B$6:$B$145,$A11,'Weekly effort'!AB$6:AB$145)</x:f>
        <x:v>0</x:v>
      </x:c>
      <x:c r="AD11" s="40" t="n">
        <x:f>SUMIF('Weekly effort'!$B$6:$B$145,$A11,'Weekly effort'!AC$6:AC$145)</x:f>
        <x:v>20.666666666666668</x:v>
      </x:c>
      <x:c r="AE11" s="40" t="n">
        <x:f>SUMIF('Weekly effort'!$B$6:$B$145,$A11,'Weekly effort'!AD$6:AD$145)</x:f>
        <x:v>26.833333333333336</x:v>
      </x:c>
      <x:c r="AF11" s="40" t="n">
        <x:f>SUMIF('Weekly effort'!$B$6:$B$145,$A11,'Weekly effort'!AE$6:AE$145)</x:f>
        <x:v>16.5</x:v>
      </x:c>
      <x:c r="AG11" s="40" t="n">
        <x:f>SUMIF('Weekly effort'!$B$6:$B$145,$A11,'Weekly effort'!AF$6:AF$145)</x:f>
        <x:v>10</x:v>
      </x:c>
      <x:c r="AH11" s="40" t="n">
        <x:f>SUMIF('Weekly effort'!$B$6:$B$145,$A11,'Weekly effort'!AG$6:AG$145)</x:f>
        <x:v>20</x:v>
      </x:c>
      <x:c r="AI11" s="40" t="n">
        <x:f>SUMIF('Weekly effort'!$B$6:$B$145,$A11,'Weekly effort'!AH$6:AH$145)</x:f>
        <x:v>0</x:v>
      </x:c>
      <x:c r="AJ11" s="40" t="n">
        <x:f>SUMIF('Weekly effort'!$B$6:$B$145,$A11,'Weekly effort'!AI$6:AI$145)</x:f>
        <x:v>0</x:v>
      </x:c>
      <x:c r="AK11" s="40" t="n">
        <x:f>SUMIF('Weekly effort'!$B$6:$B$145,$A11,'Weekly effort'!AJ$6:AJ$145)</x:f>
        <x:v>0</x:v>
      </x:c>
      <x:c r="AL11" s="40" t="n">
        <x:f>SUMIF('Weekly effort'!$B$6:$B$145,$A11,'Weekly effort'!AK$6:AK$145)</x:f>
        <x:v>0</x:v>
      </x:c>
      <x:c r="AM11" s="40" t="n">
        <x:f>SUMIF('Weekly effort'!$B$6:$B$145,$A11,'Weekly effort'!AL$6:AL$145)</x:f>
        <x:v>0</x:v>
      </x:c>
      <x:c r="AN11" s="40" t="n">
        <x:f>SUMIF('Weekly effort'!$B$6:$B$145,$A11,'Weekly effort'!AM$6:AM$145)</x:f>
        <x:v>0</x:v>
      </x:c>
      <x:c r="AO11" s="40" t="n">
        <x:f>SUMIF('Weekly effort'!$B$6:$B$145,$A11,'Weekly effort'!AN$6:AN$145)</x:f>
        <x:v>0</x:v>
      </x:c>
      <x:c r="AP11" s="40" t="n">
        <x:f>SUMIF('Weekly effort'!$B$6:$B$145,$A11,'Weekly effort'!AO$6:AO$145)</x:f>
        <x:v>0</x:v>
      </x:c>
      <x:c r="AQ11" s="40" t="n">
        <x:f>SUMIF('Weekly effort'!$B$6:$B$145,$A11,'Weekly effort'!AP$6:AP$145)</x:f>
        <x:v>0</x:v>
      </x:c>
      <x:c r="AR11" s="40" t="n">
        <x:f>SUMIF('Weekly effort'!$B$6:$B$145,$A11,'Weekly effort'!AQ$6:AQ$145)</x:f>
        <x:v>0</x:v>
      </x:c>
    </x:row>
    <x:row r="12" ht="52" customHeight="1">
      <x:c r="A12" s="10" t="str">
        <x:v>KE</x:v>
      </x:c>
      <x:c r="B12" s="10" t="str">
        <x:v>Knowledge Engineer</x:v>
      </x:c>
      <x:c r="C12" s="41" t="n">
        <x:v>960</x:v>
      </x:c>
      <x:c r="D12" s="39" t="n">
        <x:f>SUMIF('Weekly effort'!$B$6:$B$145,$A12,'Weekly effort'!$D$6:$D$145)</x:f>
        <x:v>465</x:v>
      </x:c>
      <x:c r="E12" s="39" t="n">
        <x:f>C12-D12</x:f>
        <x:v>495</x:v>
      </x:c>
      <x:c r="F12" s="41" t="n">
        <x:v>40</x:v>
      </x:c>
      <x:c r="G12" s="39" t="n">
        <x:f>MAX(I12:AR12)</x:f>
        <x:v>37.5</x:v>
      </x:c>
      <x:c r="H12" s="39" t="str">
        <x:f>IF(G12&gt;F12+0.01,"Review capacity","Within peak limit")</x:f>
        <x:v>Within peak limit</x:v>
      </x:c>
      <x:c r="I12" s="39" t="n">
        <x:f>SUMIF('Weekly effort'!$B$6:$B$145,$A12,'Weekly effort'!H$6:H$145)</x:f>
        <x:v>18</x:v>
      </x:c>
      <x:c r="J12" s="39" t="n">
        <x:f>SUMIF('Weekly effort'!$B$6:$B$145,$A12,'Weekly effort'!I$6:I$145)</x:f>
        <x:v>0</x:v>
      </x:c>
      <x:c r="K12" s="39" t="n">
        <x:f>SUMIF('Weekly effort'!$B$6:$B$145,$A12,'Weekly effort'!J$6:J$145)</x:f>
        <x:v>10.666666666666666</x:v>
      </x:c>
      <x:c r="L12" s="39" t="n">
        <x:f>SUMIF('Weekly effort'!$B$6:$B$145,$A12,'Weekly effort'!K$6:K$145)</x:f>
        <x:v>32.666666666666664</x:v>
      </x:c>
      <x:c r="M12" s="39" t="n">
        <x:f>SUMIF('Weekly effort'!$B$6:$B$145,$A12,'Weekly effort'!L$6:L$145)</x:f>
        <x:v>26.666666666666664</x:v>
      </x:c>
      <x:c r="N12" s="39" t="n">
        <x:f>SUMIF('Weekly effort'!$B$6:$B$145,$A12,'Weekly effort'!M$6:M$145)</x:f>
        <x:v>27</x:v>
      </x:c>
      <x:c r="O12" s="39" t="n">
        <x:f>SUMIF('Weekly effort'!$B$6:$B$145,$A12,'Weekly effort'!N$6:N$145)</x:f>
        <x:v>19</x:v>
      </x:c>
      <x:c r="P12" s="39" t="n">
        <x:f>SUMIF('Weekly effort'!$B$6:$B$145,$A12,'Weekly effort'!O$6:O$145)</x:f>
        <x:v>3.3333333333333335</x:v>
      </x:c>
      <x:c r="Q12" s="39" t="n">
        <x:f>SUMIF('Weekly effort'!$B$6:$B$145,$A12,'Weekly effort'!P$6:P$145)</x:f>
        <x:v>33.666666666666664</x:v>
      </x:c>
      <x:c r="R12" s="39" t="n">
        <x:f>SUMIF('Weekly effort'!$B$6:$B$145,$A12,'Weekly effort'!Q$6:Q$145)</x:f>
        <x:v>17.6</x:v>
      </x:c>
      <x:c r="S12" s="39" t="n">
        <x:f>SUMIF('Weekly effort'!$B$6:$B$145,$A12,'Weekly effort'!R$6:R$145)</x:f>
        <x:v>16</x:v>
      </x:c>
      <x:c r="T12" s="39" t="n">
        <x:f>SUMIF('Weekly effort'!$B$6:$B$145,$A12,'Weekly effort'!S$6:S$145)</x:f>
        <x:v>16</x:v>
      </x:c>
      <x:c r="U12" s="39" t="n">
        <x:f>SUMIF('Weekly effort'!$B$6:$B$145,$A12,'Weekly effort'!T$6:T$145)</x:f>
        <x:v>16</x:v>
      </x:c>
      <x:c r="V12" s="39" t="n">
        <x:f>SUMIF('Weekly effort'!$B$6:$B$145,$A12,'Weekly effort'!U$6:U$145)</x:f>
        <x:v>16</x:v>
      </x:c>
      <x:c r="W12" s="39" t="n">
        <x:f>SUMIF('Weekly effort'!$B$6:$B$145,$A12,'Weekly effort'!V$6:V$145)</x:f>
        <x:v>19.9</x:v>
      </x:c>
      <x:c r="X12" s="39" t="n">
        <x:f>SUMIF('Weekly effort'!$B$6:$B$145,$A12,'Weekly effort'!W$6:W$145)</x:f>
        <x:v>22.5</x:v>
      </x:c>
      <x:c r="Y12" s="39" t="n">
        <x:f>SUMIF('Weekly effort'!$B$6:$B$145,$A12,'Weekly effort'!X$6:X$145)</x:f>
        <x:v>22.5</x:v>
      </x:c>
      <x:c r="Z12" s="39" t="n">
        <x:f>SUMIF('Weekly effort'!$B$6:$B$145,$A12,'Weekly effort'!Y$6:Y$145)</x:f>
        <x:v>22.5</x:v>
      </x:c>
      <x:c r="AA12" s="39" t="n">
        <x:f>SUMIF('Weekly effort'!$B$6:$B$145,$A12,'Weekly effort'!Z$6:Z$145)</x:f>
        <x:v>31.5</x:v>
      </x:c>
      <x:c r="AB12" s="39" t="n">
        <x:f>SUMIF('Weekly effort'!$B$6:$B$145,$A12,'Weekly effort'!AA$6:AA$145)</x:f>
        <x:v>37.5</x:v>
      </x:c>
      <x:c r="AC12" s="39" t="n">
        <x:f>SUMIF('Weekly effort'!$B$6:$B$145,$A12,'Weekly effort'!AB$6:AB$145)</x:f>
        <x:v>37.333333333333336</x:v>
      </x:c>
      <x:c r="AD12" s="39" t="n">
        <x:f>SUMIF('Weekly effort'!$B$6:$B$145,$A12,'Weekly effort'!AC$6:AC$145)</x:f>
        <x:v>18.666666666666664</x:v>
      </x:c>
      <x:c r="AE12" s="39" t="n">
        <x:f>SUMIF('Weekly effort'!$B$6:$B$145,$A12,'Weekly effort'!AD$6:AD$145)</x:f>
        <x:v>0</x:v>
      </x:c>
      <x:c r="AF12" s="39" t="n">
        <x:f>SUMIF('Weekly effort'!$B$6:$B$145,$A12,'Weekly effort'!AE$6:AE$145)</x:f>
        <x:v>0</x:v>
      </x:c>
      <x:c r="AG12" s="39" t="n">
        <x:f>SUMIF('Weekly effort'!$B$6:$B$145,$A12,'Weekly effort'!AF$6:AF$145)</x:f>
        <x:v>0</x:v>
      </x:c>
      <x:c r="AH12" s="39" t="n">
        <x:f>SUMIF('Weekly effort'!$B$6:$B$145,$A12,'Weekly effort'!AG$6:AG$145)</x:f>
        <x:v>0</x:v>
      </x:c>
      <x:c r="AI12" s="39" t="n">
        <x:f>SUMIF('Weekly effort'!$B$6:$B$145,$A12,'Weekly effort'!AH$6:AH$145)</x:f>
        <x:v>0</x:v>
      </x:c>
      <x:c r="AJ12" s="39" t="n">
        <x:f>SUMIF('Weekly effort'!$B$6:$B$145,$A12,'Weekly effort'!AI$6:AI$145)</x:f>
        <x:v>0</x:v>
      </x:c>
      <x:c r="AK12" s="39" t="n">
        <x:f>SUMIF('Weekly effort'!$B$6:$B$145,$A12,'Weekly effort'!AJ$6:AJ$145)</x:f>
        <x:v>0</x:v>
      </x:c>
      <x:c r="AL12" s="39" t="n">
        <x:f>SUMIF('Weekly effort'!$B$6:$B$145,$A12,'Weekly effort'!AK$6:AK$145)</x:f>
        <x:v>0</x:v>
      </x:c>
      <x:c r="AM12" s="39" t="n">
        <x:f>SUMIF('Weekly effort'!$B$6:$B$145,$A12,'Weekly effort'!AL$6:AL$145)</x:f>
        <x:v>0</x:v>
      </x:c>
      <x:c r="AN12" s="39" t="n">
        <x:f>SUMIF('Weekly effort'!$B$6:$B$145,$A12,'Weekly effort'!AM$6:AM$145)</x:f>
        <x:v>0</x:v>
      </x:c>
      <x:c r="AO12" s="39" t="n">
        <x:f>SUMIF('Weekly effort'!$B$6:$B$145,$A12,'Weekly effort'!AN$6:AN$145)</x:f>
        <x:v>0</x:v>
      </x:c>
      <x:c r="AP12" s="39" t="n">
        <x:f>SUMIF('Weekly effort'!$B$6:$B$145,$A12,'Weekly effort'!AO$6:AO$145)</x:f>
        <x:v>0</x:v>
      </x:c>
      <x:c r="AQ12" s="39" t="n">
        <x:f>SUMIF('Weekly effort'!$B$6:$B$145,$A12,'Weekly effort'!AP$6:AP$145)</x:f>
        <x:v>0</x:v>
      </x:c>
      <x:c r="AR12" s="39" t="n">
        <x:f>SUMIF('Weekly effort'!$B$6:$B$145,$A12,'Weekly effort'!AQ$6:AQ$145)</x:f>
        <x:v>0</x:v>
      </x:c>
    </x:row>
    <x:row r="13" ht="52" customHeight="1">
      <x:c r="A13" s="9" t="str">
        <x:v>SEC</x:v>
      </x:c>
      <x:c r="B13" s="9" t="str">
        <x:v>Parent security lead</x:v>
      </x:c>
      <x:c r="C13" s="41" t="n">
        <x:v>160</x:v>
      </x:c>
      <x:c r="D13" s="40" t="n">
        <x:f>SUMIF('Weekly effort'!$B$6:$B$145,$A13,'Weekly effort'!$D$6:$D$145)</x:f>
        <x:v>119</x:v>
      </x:c>
      <x:c r="E13" s="40" t="n">
        <x:f>C13-D13</x:f>
        <x:v>41</x:v>
      </x:c>
      <x:c r="F13" s="41" t="n">
        <x:v>40</x:v>
      </x:c>
      <x:c r="G13" s="40" t="n">
        <x:f>MAX(I13:AR13)</x:f>
        <x:v>20.8</x:v>
      </x:c>
      <x:c r="H13" s="40" t="str">
        <x:f>IF(G13&gt;F13+0.01,"Review capacity","Within peak limit")</x:f>
        <x:v>Within peak limit</x:v>
      </x:c>
      <x:c r="I13" s="40" t="n">
        <x:f>SUMIF('Weekly effort'!$B$6:$B$145,$A13,'Weekly effort'!H$6:H$145)</x:f>
        <x:v>20.2</x:v>
      </x:c>
      <x:c r="J13" s="40" t="n">
        <x:f>SUMIF('Weekly effort'!$B$6:$B$145,$A13,'Weekly effort'!I$6:I$145)</x:f>
        <x:v>20.8</x:v>
      </x:c>
      <x:c r="K13" s="40" t="n">
        <x:f>SUMIF('Weekly effort'!$B$6:$B$145,$A13,'Weekly effort'!J$6:J$145)</x:f>
        <x:v>1.3333333333333333</x:v>
      </x:c>
      <x:c r="L13" s="40" t="n">
        <x:f>SUMIF('Weekly effort'!$B$6:$B$145,$A13,'Weekly effort'!K$6:K$145)</x:f>
        <x:v>2.6666666666666665</x:v>
      </x:c>
      <x:c r="M13" s="40" t="n">
        <x:f>SUMIF('Weekly effort'!$B$6:$B$145,$A13,'Weekly effort'!L$6:L$145)</x:f>
        <x:v>0</x:v>
      </x:c>
      <x:c r="N13" s="40" t="n">
        <x:f>SUMIF('Weekly effort'!$B$6:$B$145,$A13,'Weekly effort'!M$6:M$145)</x:f>
        <x:v>5</x:v>
      </x:c>
      <x:c r="O13" s="40" t="n">
        <x:f>SUMIF('Weekly effort'!$B$6:$B$145,$A13,'Weekly effort'!N$6:N$145)</x:f>
        <x:v>0</x:v>
      </x:c>
      <x:c r="P13" s="40" t="n">
        <x:f>SUMIF('Weekly effort'!$B$6:$B$145,$A13,'Weekly effort'!O$6:O$145)</x:f>
        <x:v>0</x:v>
      </x:c>
      <x:c r="Q13" s="40" t="n">
        <x:f>SUMIF('Weekly effort'!$B$6:$B$145,$A13,'Weekly effort'!P$6:P$145)</x:f>
        <x:v>5</x:v>
      </x:c>
      <x:c r="R13" s="40" t="n">
        <x:f>SUMIF('Weekly effort'!$B$6:$B$145,$A13,'Weekly effort'!Q$6:Q$145)</x:f>
        <x:v>0</x:v>
      </x:c>
      <x:c r="S13" s="40" t="n">
        <x:f>SUMIF('Weekly effort'!$B$6:$B$145,$A13,'Weekly effort'!R$6:R$145)</x:f>
        <x:v>5.666666666666667</x:v>
      </x:c>
      <x:c r="T13" s="40" t="n">
        <x:f>SUMIF('Weekly effort'!$B$6:$B$145,$A13,'Weekly effort'!S$6:S$145)</x:f>
        <x:v>3.3333333333333335</x:v>
      </x:c>
      <x:c r="U13" s="40" t="n">
        <x:f>SUMIF('Weekly effort'!$B$6:$B$145,$A13,'Weekly effort'!T$6:T$145)</x:f>
        <x:v>0</x:v>
      </x:c>
      <x:c r="V13" s="40" t="n">
        <x:f>SUMIF('Weekly effort'!$B$6:$B$145,$A13,'Weekly effort'!U$6:U$145)</x:f>
        <x:v>0</x:v>
      </x:c>
      <x:c r="W13" s="40" t="n">
        <x:f>SUMIF('Weekly effort'!$B$6:$B$145,$A13,'Weekly effort'!V$6:V$145)</x:f>
        <x:v>1</x:v>
      </x:c>
      <x:c r="X13" s="40" t="n">
        <x:f>SUMIF('Weekly effort'!$B$6:$B$145,$A13,'Weekly effort'!W$6:W$145)</x:f>
        <x:v>5</x:v>
      </x:c>
      <x:c r="Y13" s="40" t="n">
        <x:f>SUMIF('Weekly effort'!$B$6:$B$145,$A13,'Weekly effort'!X$6:X$145)</x:f>
        <x:v>4.75</x:v>
      </x:c>
      <x:c r="Z13" s="40" t="n">
        <x:f>SUMIF('Weekly effort'!$B$6:$B$145,$A13,'Weekly effort'!Y$6:Y$145)</x:f>
        <x:v>3.75</x:v>
      </x:c>
      <x:c r="AA13" s="40" t="n">
        <x:f>SUMIF('Weekly effort'!$B$6:$B$145,$A13,'Weekly effort'!Z$6:Z$145)</x:f>
        <x:v>1.5</x:v>
      </x:c>
      <x:c r="AB13" s="40" t="n">
        <x:f>SUMIF('Weekly effort'!$B$6:$B$145,$A13,'Weekly effort'!AA$6:AA$145)</x:f>
        <x:v>0</x:v>
      </x:c>
      <x:c r="AC13" s="40" t="n">
        <x:f>SUMIF('Weekly effort'!$B$6:$B$145,$A13,'Weekly effort'!AB$6:AB$145)</x:f>
        <x:v>2</x:v>
      </x:c>
      <x:c r="AD13" s="40" t="n">
        <x:f>SUMIF('Weekly effort'!$B$6:$B$145,$A13,'Weekly effort'!AC$6:AC$145)</x:f>
        <x:v>4</x:v>
      </x:c>
      <x:c r="AE13" s="40" t="n">
        <x:f>SUMIF('Weekly effort'!$B$6:$B$145,$A13,'Weekly effort'!AD$6:AD$145)</x:f>
        <x:v>0</x:v>
      </x:c>
      <x:c r="AF13" s="40" t="n">
        <x:f>SUMIF('Weekly effort'!$B$6:$B$145,$A13,'Weekly effort'!AE$6:AE$145)</x:f>
        <x:v>13.7</x:v>
      </x:c>
      <x:c r="AG13" s="40" t="n">
        <x:f>SUMIF('Weekly effort'!$B$6:$B$145,$A13,'Weekly effort'!AF$6:AF$145)</x:f>
        <x:v>19.3</x:v>
      </x:c>
      <x:c r="AH13" s="40" t="n">
        <x:f>SUMIF('Weekly effort'!$B$6:$B$145,$A13,'Weekly effort'!AG$6:AG$145)</x:f>
        <x:v>0</x:v>
      </x:c>
      <x:c r="AI13" s="40" t="n">
        <x:f>SUMIF('Weekly effort'!$B$6:$B$145,$A13,'Weekly effort'!AH$6:AH$145)</x:f>
        <x:v>0</x:v>
      </x:c>
      <x:c r="AJ13" s="40" t="n">
        <x:f>SUMIF('Weekly effort'!$B$6:$B$145,$A13,'Weekly effort'!AI$6:AI$145)</x:f>
        <x:v>0</x:v>
      </x:c>
      <x:c r="AK13" s="40" t="n">
        <x:f>SUMIF('Weekly effort'!$B$6:$B$145,$A13,'Weekly effort'!AJ$6:AJ$145)</x:f>
        <x:v>0</x:v>
      </x:c>
      <x:c r="AL13" s="40" t="n">
        <x:f>SUMIF('Weekly effort'!$B$6:$B$145,$A13,'Weekly effort'!AK$6:AK$145)</x:f>
        <x:v>0</x:v>
      </x:c>
      <x:c r="AM13" s="40" t="n">
        <x:f>SUMIF('Weekly effort'!$B$6:$B$145,$A13,'Weekly effort'!AL$6:AL$145)</x:f>
        <x:v>0</x:v>
      </x:c>
      <x:c r="AN13" s="40" t="n">
        <x:f>SUMIF('Weekly effort'!$B$6:$B$145,$A13,'Weekly effort'!AM$6:AM$145)</x:f>
        <x:v>0</x:v>
      </x:c>
      <x:c r="AO13" s="40" t="n">
        <x:f>SUMIF('Weekly effort'!$B$6:$B$145,$A13,'Weekly effort'!AN$6:AN$145)</x:f>
        <x:v>0</x:v>
      </x:c>
      <x:c r="AP13" s="40" t="n">
        <x:f>SUMIF('Weekly effort'!$B$6:$B$145,$A13,'Weekly effort'!AO$6:AO$145)</x:f>
        <x:v>0</x:v>
      </x:c>
      <x:c r="AQ13" s="40" t="n">
        <x:f>SUMIF('Weekly effort'!$B$6:$B$145,$A13,'Weekly effort'!AP$6:AP$145)</x:f>
        <x:v>0</x:v>
      </x:c>
      <x:c r="AR13" s="40" t="n">
        <x:f>SUMIF('Weekly effort'!$B$6:$B$145,$A13,'Weekly effort'!AQ$6:AQ$145)</x:f>
        <x:v>0</x:v>
      </x:c>
    </x:row>
    <x:row r="14" ht="52" customHeight="1">
      <x:c r="A14" s="10" t="str">
        <x:v>EXP</x:v>
      </x:c>
      <x:c r="B14" s="10" t="str">
        <x:v>Contracted expert or independent reviewer</x:v>
      </x:c>
      <x:c r="C14" s="41" t="n">
        <x:v>1000</x:v>
      </x:c>
      <x:c r="D14" s="39" t="n">
        <x:f>SUMIF('Weekly effort'!$B$6:$B$145,$A14,'Weekly effort'!$D$6:$D$145)</x:f>
        <x:v>658</x:v>
      </x:c>
      <x:c r="E14" s="39" t="n">
        <x:f>C14-D14</x:f>
        <x:v>342</x:v>
      </x:c>
      <x:c r="F14" s="41" t="n">
        <x:v>120</x:v>
      </x:c>
      <x:c r="G14" s="39" t="n">
        <x:f>MAX(I14:AR14)</x:f>
        <x:v>106.66666666666667</x:v>
      </x:c>
      <x:c r="H14" s="39" t="str">
        <x:f>IF(G14&gt;F14+0.01,"Review capacity","Within peak limit")</x:f>
        <x:v>Within peak limit</x:v>
      </x:c>
      <x:c r="I14" s="39" t="n">
        <x:f>SUMIF('Weekly effort'!$B$6:$B$145,$A14,'Weekly effort'!H$6:H$145)</x:f>
        <x:v>3.2</x:v>
      </x:c>
      <x:c r="J14" s="39" t="n">
        <x:f>SUMIF('Weekly effort'!$B$6:$B$145,$A14,'Weekly effort'!I$6:I$145)</x:f>
        <x:v>4.8</x:v>
      </x:c>
      <x:c r="K14" s="39" t="n">
        <x:f>SUMIF('Weekly effort'!$B$6:$B$145,$A14,'Weekly effort'!J$6:J$145)</x:f>
        <x:v>0</x:v>
      </x:c>
      <x:c r="L14" s="39" t="n">
        <x:f>SUMIF('Weekly effort'!$B$6:$B$145,$A14,'Weekly effort'!K$6:K$145)</x:f>
        <x:v>22</x:v>
      </x:c>
      <x:c r="M14" s="39" t="n">
        <x:f>SUMIF('Weekly effort'!$B$6:$B$145,$A14,'Weekly effort'!L$6:L$145)</x:f>
        <x:v>18</x:v>
      </x:c>
      <x:c r="N14" s="39" t="n">
        <x:f>SUMIF('Weekly effort'!$B$6:$B$145,$A14,'Weekly effort'!M$6:M$145)</x:f>
        <x:v>10.9</x:v>
      </x:c>
      <x:c r="O14" s="39" t="n">
        <x:f>SUMIF('Weekly effort'!$B$6:$B$145,$A14,'Weekly effort'!N$6:N$145)</x:f>
        <x:v>31.1</x:v>
      </x:c>
      <x:c r="P14" s="39" t="n">
        <x:f>SUMIF('Weekly effort'!$B$6:$B$145,$A14,'Weekly effort'!O$6:O$145)</x:f>
        <x:v>18</x:v>
      </x:c>
      <x:c r="Q14" s="39" t="n">
        <x:f>SUMIF('Weekly effort'!$B$6:$B$145,$A14,'Weekly effort'!P$6:P$145)</x:f>
        <x:v>40</x:v>
      </x:c>
      <x:c r="R14" s="39" t="n">
        <x:f>SUMIF('Weekly effort'!$B$6:$B$145,$A14,'Weekly effort'!Q$6:Q$145)</x:f>
        <x:v>22.857142857142858</x:v>
      </x:c>
      <x:c r="S14" s="39" t="n">
        <x:f>SUMIF('Weekly effort'!$B$6:$B$145,$A14,'Weekly effort'!R$6:R$145)</x:f>
        <x:v>17.142857142857142</x:v>
      </x:c>
      <x:c r="T14" s="39" t="n">
        <x:f>SUMIF('Weekly effort'!$B$6:$B$145,$A14,'Weekly effort'!S$6:S$145)</x:f>
        <x:v>0</x:v>
      </x:c>
      <x:c r="U14" s="39" t="n">
        <x:f>SUMIF('Weekly effort'!$B$6:$B$145,$A14,'Weekly effort'!T$6:T$145)</x:f>
        <x:v>0</x:v>
      </x:c>
      <x:c r="V14" s="39" t="n">
        <x:f>SUMIF('Weekly effort'!$B$6:$B$145,$A14,'Weekly effort'!U$6:U$145)</x:f>
        <x:v>0</x:v>
      </x:c>
      <x:c r="W14" s="39" t="n">
        <x:f>SUMIF('Weekly effort'!$B$6:$B$145,$A14,'Weekly effort'!V$6:V$145)</x:f>
        <x:v>9</x:v>
      </x:c>
      <x:c r="X14" s="39" t="n">
        <x:f>SUMIF('Weekly effort'!$B$6:$B$145,$A14,'Weekly effort'!W$6:W$145)</x:f>
        <x:v>15</x:v>
      </x:c>
      <x:c r="Y14" s="39" t="n">
        <x:f>SUMIF('Weekly effort'!$B$6:$B$145,$A14,'Weekly effort'!X$6:X$145)</x:f>
        <x:v>15</x:v>
      </x:c>
      <x:c r="Z14" s="39" t="n">
        <x:f>SUMIF('Weekly effort'!$B$6:$B$145,$A14,'Weekly effort'!Y$6:Y$145)</x:f>
        <x:v>15</x:v>
      </x:c>
      <x:c r="AA14" s="39" t="n">
        <x:f>SUMIF('Weekly effort'!$B$6:$B$145,$A14,'Weekly effort'!Z$6:Z$145)</x:f>
        <x:v>70</x:v>
      </x:c>
      <x:c r="AB14" s="39" t="n">
        <x:f>SUMIF('Weekly effort'!$B$6:$B$145,$A14,'Weekly effort'!AA$6:AA$145)</x:f>
        <x:v>106.66666666666667</x:v>
      </x:c>
      <x:c r="AC14" s="39" t="n">
        <x:f>SUMIF('Weekly effort'!$B$6:$B$145,$A14,'Weekly effort'!AB$6:AB$145)</x:f>
        <x:v>69.33333333333334</x:v>
      </x:c>
      <x:c r="AD14" s="39" t="n">
        <x:f>SUMIF('Weekly effort'!$B$6:$B$145,$A14,'Weekly effort'!AC$6:AC$145)</x:f>
        <x:v>0</x:v>
      </x:c>
      <x:c r="AE14" s="39" t="n">
        <x:f>SUMIF('Weekly effort'!$B$6:$B$145,$A14,'Weekly effort'!AD$6:AD$145)</x:f>
        <x:v>0</x:v>
      </x:c>
      <x:c r="AF14" s="39" t="n">
        <x:f>SUMIF('Weekly effort'!$B$6:$B$145,$A14,'Weekly effort'!AE$6:AE$145)</x:f>
        <x:v>24</x:v>
      </x:c>
      <x:c r="AG14" s="39" t="n">
        <x:f>SUMIF('Weekly effort'!$B$6:$B$145,$A14,'Weekly effort'!AF$6:AF$145)</x:f>
        <x:v>46</x:v>
      </x:c>
      <x:c r="AH14" s="39" t="n">
        <x:f>SUMIF('Weekly effort'!$B$6:$B$145,$A14,'Weekly effort'!AG$6:AG$145)</x:f>
        <x:v>20</x:v>
      </x:c>
      <x:c r="AI14" s="39" t="n">
        <x:f>SUMIF('Weekly effort'!$B$6:$B$145,$A14,'Weekly effort'!AH$6:AH$145)</x:f>
        <x:v>0</x:v>
      </x:c>
      <x:c r="AJ14" s="39" t="n">
        <x:f>SUMIF('Weekly effort'!$B$6:$B$145,$A14,'Weekly effort'!AI$6:AI$145)</x:f>
        <x:v>22.857142857142858</x:v>
      </x:c>
      <x:c r="AK14" s="39" t="n">
        <x:f>SUMIF('Weekly effort'!$B$6:$B$145,$A14,'Weekly effort'!AJ$6:AJ$145)</x:f>
        <x:v>28.571428571428573</x:v>
      </x:c>
      <x:c r="AL14" s="39" t="n">
        <x:f>SUMIF('Weekly effort'!$B$6:$B$145,$A14,'Weekly effort'!AK$6:AK$145)</x:f>
        <x:v>28.571428571428573</x:v>
      </x:c>
      <x:c r="AM14" s="39" t="n">
        <x:f>SUMIF('Weekly effort'!$B$6:$B$145,$A14,'Weekly effort'!AL$6:AL$145)</x:f>
        <x:v>0</x:v>
      </x:c>
      <x:c r="AN14" s="39" t="n">
        <x:f>SUMIF('Weekly effort'!$B$6:$B$145,$A14,'Weekly effort'!AM$6:AM$145)</x:f>
        <x:v>0</x:v>
      </x:c>
      <x:c r="AO14" s="39" t="n">
        <x:f>SUMIF('Weekly effort'!$B$6:$B$145,$A14,'Weekly effort'!AN$6:AN$145)</x:f>
        <x:v>0</x:v>
      </x:c>
      <x:c r="AP14" s="39" t="n">
        <x:f>SUMIF('Weekly effort'!$B$6:$B$145,$A14,'Weekly effort'!AO$6:AO$145)</x:f>
        <x:v>0</x:v>
      </x:c>
      <x:c r="AQ14" s="39" t="n">
        <x:f>SUMIF('Weekly effort'!$B$6:$B$145,$A14,'Weekly effort'!AP$6:AP$145)</x:f>
        <x:v>0</x:v>
      </x:c>
      <x:c r="AR14" s="39" t="n">
        <x:f>SUMIF('Weekly effort'!$B$6:$B$145,$A14,'Weekly effort'!AQ$6:AQ$145)</x:f>
        <x:v>0</x:v>
      </x:c>
    </x:row>
    <x:row r="15" ht="52" customHeight="1">
      <x:c r="A15" s="9" t="str">
        <x:v>OPS</x:v>
      </x:c>
      <x:c r="B15" s="9" t="str">
        <x:v>Contracted implementation specialist</x:v>
      </x:c>
      <x:c r="C15" s="41" t="n">
        <x:v>300</x:v>
      </x:c>
      <x:c r="D15" s="40" t="n">
        <x:f>SUMIF('Weekly effort'!$B$6:$B$145,$A15,'Weekly effort'!$D$6:$D$145)</x:f>
        <x:v>213</x:v>
      </x:c>
      <x:c r="E15" s="40" t="n">
        <x:f>C15-D15</x:f>
        <x:v>87</x:v>
      </x:c>
      <x:c r="F15" s="41" t="n">
        <x:v>40</x:v>
      </x:c>
      <x:c r="G15" s="40" t="n">
        <x:f>MAX(I15:AR15)</x:f>
        <x:v>33</x:v>
      </x:c>
      <x:c r="H15" s="40" t="str">
        <x:f>IF(G15&gt;F15+0.01,"Review capacity","Within peak limit")</x:f>
        <x:v>Within peak limit</x:v>
      </x:c>
      <x:c r="I15" s="40" t="n">
        <x:f>SUMIF('Weekly effort'!$B$6:$B$145,$A15,'Weekly effort'!H$6:H$145)</x:f>
        <x:v>24</x:v>
      </x:c>
      <x:c r="J15" s="40" t="n">
        <x:f>SUMIF('Weekly effort'!$B$6:$B$145,$A15,'Weekly effort'!I$6:I$145)</x:f>
        <x:v>7</x:v>
      </x:c>
      <x:c r="K15" s="40" t="n">
        <x:f>SUMIF('Weekly effort'!$B$6:$B$145,$A15,'Weekly effort'!J$6:J$145)</x:f>
        <x:v>2</x:v>
      </x:c>
      <x:c r="L15" s="40" t="n">
        <x:f>SUMIF('Weekly effort'!$B$6:$B$145,$A15,'Weekly effort'!K$6:K$145)</x:f>
        <x:v>18</x:v>
      </x:c>
      <x:c r="M15" s="40" t="n">
        <x:f>SUMIF('Weekly effort'!$B$6:$B$145,$A15,'Weekly effort'!L$6:L$145)</x:f>
        <x:v>6</x:v>
      </x:c>
      <x:c r="N15" s="40" t="n">
        <x:f>SUMIF('Weekly effort'!$B$6:$B$145,$A15,'Weekly effort'!M$6:M$145)</x:f>
        <x:v>0</x:v>
      </x:c>
      <x:c r="O15" s="40" t="n">
        <x:f>SUMIF('Weekly effort'!$B$6:$B$145,$A15,'Weekly effort'!N$6:N$145)</x:f>
        <x:v>0</x:v>
      </x:c>
      <x:c r="P15" s="40" t="n">
        <x:f>SUMIF('Weekly effort'!$B$6:$B$145,$A15,'Weekly effort'!O$6:O$145)</x:f>
        <x:v>10</x:v>
      </x:c>
      <x:c r="Q15" s="40" t="n">
        <x:f>SUMIF('Weekly effort'!$B$6:$B$145,$A15,'Weekly effort'!P$6:P$145)</x:f>
        <x:v>0</x:v>
      </x:c>
      <x:c r="R15" s="40" t="n">
        <x:f>SUMIF('Weekly effort'!$B$6:$B$145,$A15,'Weekly effort'!Q$6:Q$145)</x:f>
        <x:v>0</x:v>
      </x:c>
      <x:c r="S15" s="40" t="n">
        <x:f>SUMIF('Weekly effort'!$B$6:$B$145,$A15,'Weekly effort'!R$6:R$145)</x:f>
        <x:v>5.333333333333333</x:v>
      </x:c>
      <x:c r="T15" s="40" t="n">
        <x:f>SUMIF('Weekly effort'!$B$6:$B$145,$A15,'Weekly effort'!S$6:S$145)</x:f>
        <x:v>10.666666666666666</x:v>
      </x:c>
      <x:c r="U15" s="40" t="n">
        <x:f>SUMIF('Weekly effort'!$B$6:$B$145,$A15,'Weekly effort'!T$6:T$145)</x:f>
        <x:v>33</x:v>
      </x:c>
      <x:c r="V15" s="40" t="n">
        <x:f>SUMIF('Weekly effort'!$B$6:$B$145,$A15,'Weekly effort'!U$6:U$145)</x:f>
        <x:v>25</x:v>
      </x:c>
      <x:c r="W15" s="40" t="n">
        <x:f>SUMIF('Weekly effort'!$B$6:$B$145,$A15,'Weekly effort'!V$6:V$145)</x:f>
        <x:v>0</x:v>
      </x:c>
      <x:c r="X15" s="40" t="n">
        <x:f>SUMIF('Weekly effort'!$B$6:$B$145,$A15,'Weekly effort'!W$6:W$145)</x:f>
        <x:v>0</x:v>
      </x:c>
      <x:c r="Y15" s="40" t="n">
        <x:f>SUMIF('Weekly effort'!$B$6:$B$145,$A15,'Weekly effort'!X$6:X$145)</x:f>
        <x:v>4.5</x:v>
      </x:c>
      <x:c r="Z15" s="40" t="n">
        <x:f>SUMIF('Weekly effort'!$B$6:$B$145,$A15,'Weekly effort'!Y$6:Y$145)</x:f>
        <x:v>22.5</x:v>
      </x:c>
      <x:c r="AA15" s="40" t="n">
        <x:f>SUMIF('Weekly effort'!$B$6:$B$145,$A15,'Weekly effort'!Z$6:Z$145)</x:f>
        <x:v>9</x:v>
      </x:c>
      <x:c r="AB15" s="40" t="n">
        <x:f>SUMIF('Weekly effort'!$B$6:$B$145,$A15,'Weekly effort'!AA$6:AA$145)</x:f>
        <x:v>0</x:v>
      </x:c>
      <x:c r="AC15" s="40" t="n">
        <x:f>SUMIF('Weekly effort'!$B$6:$B$145,$A15,'Weekly effort'!AB$6:AB$145)</x:f>
        <x:v>0</x:v>
      </x:c>
      <x:c r="AD15" s="40" t="n">
        <x:f>SUMIF('Weekly effort'!$B$6:$B$145,$A15,'Weekly effort'!AC$6:AC$145)</x:f>
        <x:v>0</x:v>
      </x:c>
      <x:c r="AE15" s="40" t="n">
        <x:f>SUMIF('Weekly effort'!$B$6:$B$145,$A15,'Weekly effort'!AD$6:AD$145)</x:f>
        <x:v>1.5</x:v>
      </x:c>
      <x:c r="AF15" s="40" t="n">
        <x:f>SUMIF('Weekly effort'!$B$6:$B$145,$A15,'Weekly effort'!AE$6:AE$145)</x:f>
        <x:v>18.5</x:v>
      </x:c>
      <x:c r="AG15" s="40" t="n">
        <x:f>SUMIF('Weekly effort'!$B$6:$B$145,$A15,'Weekly effort'!AF$6:AF$145)</x:f>
        <x:v>16</x:v>
      </x:c>
      <x:c r="AH15" s="40" t="n">
        <x:f>SUMIF('Weekly effort'!$B$6:$B$145,$A15,'Weekly effort'!AG$6:AG$145)</x:f>
        <x:v>0</x:v>
      </x:c>
      <x:c r="AI15" s="40" t="n">
        <x:f>SUMIF('Weekly effort'!$B$6:$B$145,$A15,'Weekly effort'!AH$6:AH$145)</x:f>
        <x:v>0</x:v>
      </x:c>
      <x:c r="AJ15" s="40" t="n">
        <x:f>SUMIF('Weekly effort'!$B$6:$B$145,$A15,'Weekly effort'!AI$6:AI$145)</x:f>
        <x:v>0</x:v>
      </x:c>
      <x:c r="AK15" s="40" t="n">
        <x:f>SUMIF('Weekly effort'!$B$6:$B$145,$A15,'Weekly effort'!AJ$6:AJ$145)</x:f>
        <x:v>0</x:v>
      </x:c>
      <x:c r="AL15" s="40" t="n">
        <x:f>SUMIF('Weekly effort'!$B$6:$B$145,$A15,'Weekly effort'!AK$6:AK$145)</x:f>
        <x:v>0</x:v>
      </x:c>
      <x:c r="AM15" s="40" t="n">
        <x:f>SUMIF('Weekly effort'!$B$6:$B$145,$A15,'Weekly effort'!AL$6:AL$145)</x:f>
        <x:v>0</x:v>
      </x:c>
      <x:c r="AN15" s="40" t="n">
        <x:f>SUMIF('Weekly effort'!$B$6:$B$145,$A15,'Weekly effort'!AM$6:AM$145)</x:f>
        <x:v>0</x:v>
      </x:c>
      <x:c r="AO15" s="40" t="n">
        <x:f>SUMIF('Weekly effort'!$B$6:$B$145,$A15,'Weekly effort'!AN$6:AN$145)</x:f>
        <x:v>0</x:v>
      </x:c>
      <x:c r="AP15" s="40" t="n">
        <x:f>SUMIF('Weekly effort'!$B$6:$B$145,$A15,'Weekly effort'!AO$6:AO$145)</x:f>
        <x:v>0</x:v>
      </x:c>
      <x:c r="AQ15" s="40" t="n">
        <x:f>SUMIF('Weekly effort'!$B$6:$B$145,$A15,'Weekly effort'!AP$6:AP$145)</x:f>
        <x:v>0</x:v>
      </x:c>
      <x:c r="AR15" s="40" t="n">
        <x:f>SUMIF('Weekly effort'!$B$6:$B$145,$A15,'Weekly effort'!AQ$6:AQ$145)</x:f>
        <x:v>0</x:v>
      </x:c>
    </x:row>
    <x:row r="18" ht="42" customHeight="1">
      <x:c r="A18" t="str">
        <x:v>Hour envelopes</x:v>
      </x:c>
      <x:c r="B18" s="42" t="str">
        <x:v>Earlier employee allocation: 4,080 hours.</x:v>
      </x:c>
    </x:row>
    <x:row r="19" ht="42" customHeight="1">
      <x:c r="B19" s="42" t="str">
        <x:v>Expert pool: 1,000 hours proposed.</x:v>
      </x:c>
    </x:row>
    <x:row r="20" ht="42" customHeight="1">
      <x:c r="B20" s="42" t="str">
        <x:v>Implementation specialist: 300 hours.</x:v>
      </x:c>
    </x:row>
    <x:row r="21" ht="42" customHeight="1">
      <x:c r="B21" s="42" t="str">
        <x:v>Parent security: 160 hours proposed.</x:v>
      </x:c>
    </x:row>
  </x:sheetData>
  <x:conditionalFormatting sqref="H6:H15">
    <x:cfRule type="containsText" dxfId="70" priority="1" operator="containsText" text="Review capacity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</x:cols>
  <x:sheetData>
    <x:row r="1" ht="27" customHeight="1">
      <x:c r="A1" s="2" t="str">
        <x:v>Weekly owner and review effort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28" customHeight="1">
      <x:c r="A2" s="3" t="str">
        <x:v>Uniform effort within each task duration. These estimates exclude unassigned overhead and buffers.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</x:row>
    <x:row r="5" ht="38" customHeight="1">
      <x:c r="A5" s="7" t="str">
        <x:v>Task</x:v>
      </x:c>
      <x:c r="B5" s="7" t="str">
        <x:v>Role</x:v>
      </x:c>
      <x:c r="C5" s="7" t="str">
        <x:v>Work type</x:v>
      </x:c>
      <x:c r="D5" s="7" t="str">
        <x:v>Total hours</x:v>
      </x:c>
      <x:c r="E5" s="7" t="str">
        <x:v>Days</x:v>
      </x:c>
      <x:c r="F5" s="7" t="str">
        <x:v>Start day</x:v>
      </x:c>
      <x:c r="G5" s="7" t="str">
        <x:v>Finish day</x:v>
      </x:c>
      <x:c r="H5" s="7" t="n">
        <x:v>1</x:v>
      </x:c>
      <x:c r="I5" s="7" t="n">
        <x:v>2</x:v>
      </x:c>
      <x:c r="J5" s="7" t="n">
        <x:v>3</x:v>
      </x:c>
      <x:c r="K5" s="7" t="n">
        <x:v>4</x:v>
      </x:c>
      <x:c r="L5" s="7" t="n">
        <x:v>5</x:v>
      </x:c>
      <x:c r="M5" s="7" t="n">
        <x:v>6</x:v>
      </x:c>
      <x:c r="N5" s="7" t="n">
        <x:v>7</x:v>
      </x:c>
      <x:c r="O5" s="7" t="n">
        <x:v>8</x:v>
      </x:c>
      <x:c r="P5" s="7" t="n">
        <x:v>9</x:v>
      </x:c>
      <x:c r="Q5" s="7" t="n">
        <x:v>10</x:v>
      </x:c>
      <x:c r="R5" s="7" t="n">
        <x:v>11</x:v>
      </x:c>
      <x:c r="S5" s="7" t="n">
        <x:v>12</x:v>
      </x:c>
      <x:c r="T5" s="7" t="n">
        <x:v>13</x:v>
      </x:c>
      <x:c r="U5" s="7" t="n">
        <x:v>14</x:v>
      </x:c>
      <x:c r="V5" s="7" t="n">
        <x:v>15</x:v>
      </x:c>
      <x:c r="W5" s="7" t="n">
        <x:v>16</x:v>
      </x:c>
      <x:c r="X5" s="7" t="n">
        <x:v>17</x:v>
      </x:c>
      <x:c r="Y5" s="7" t="n">
        <x:v>18</x:v>
      </x:c>
      <x:c r="Z5" s="7" t="n">
        <x:v>19</x:v>
      </x:c>
      <x:c r="AA5" s="7" t="n">
        <x:v>20</x:v>
      </x:c>
      <x:c r="AB5" s="7" t="n">
        <x:v>21</x:v>
      </x:c>
      <x:c r="AC5" s="7" t="n">
        <x:v>22</x:v>
      </x:c>
      <x:c r="AD5" s="7" t="n">
        <x:v>23</x:v>
      </x:c>
      <x:c r="AE5" s="7" t="n">
        <x:v>24</x:v>
      </x:c>
      <x:c r="AF5" s="7" t="n">
        <x:v>25</x:v>
      </x:c>
      <x:c r="AG5" s="7" t="n">
        <x:v>26</x:v>
      </x:c>
      <x:c r="AH5" s="7" t="n">
        <x:v>27</x:v>
      </x:c>
      <x:c r="AI5" s="7" t="n">
        <x:v>28</x:v>
      </x:c>
      <x:c r="AJ5" s="7" t="n">
        <x:v>29</x:v>
      </x:c>
      <x:c r="AK5" s="7" t="n">
        <x:v>30</x:v>
      </x:c>
      <x:c r="AL5" s="7" t="n">
        <x:v>31</x:v>
      </x:c>
      <x:c r="AM5" s="7" t="n">
        <x:v>32</x:v>
      </x:c>
      <x:c r="AN5" s="7" t="n">
        <x:v>33</x:v>
      </x:c>
      <x:c r="AO5" s="7" t="n">
        <x:v>34</x:v>
      </x:c>
      <x:c r="AP5" s="7" t="n">
        <x:v>35</x:v>
      </x:c>
      <x:c r="AQ5" s="7" t="n">
        <x:v>36</x:v>
      </x:c>
    </x:row>
    <x:row r="6" ht="27" customHeight="1">
      <x:c r="A6" s="10" t="str">
        <x:v>B01</x:v>
      </x:c>
      <x:c r="B6" s="10" t="str">
        <x:f>'Tasks'!D6</x:f>
        <x:v>OPS</x:v>
      </x:c>
      <x:c r="C6" s="10" t="str">
        <x:v>Owner</x:v>
      </x:c>
      <x:c r="D6" s="39" t="n">
        <x:f>'Tasks'!O6</x:f>
        <x:v>20</x:v>
      </x:c>
      <x:c r="E6" s="39" t="n">
        <x:f>'Tasks'!F6</x:f>
        <x:v>3</x:v>
      </x:c>
      <x:c r="F6" s="39" t="n">
        <x:f>'Tasks'!K6</x:f>
        <x:v>1</x:v>
      </x:c>
      <x:c r="G6" s="39" t="n">
        <x:f>'Tasks'!L6</x:f>
        <x:v>3</x:v>
      </x:c>
      <x:c r="H6" s="39" t="n">
        <x:f>MAX(0,MIN($G6,5)-MAX($F6,1)+1)*$D6/$E6</x:f>
        <x:v>20</x:v>
      </x:c>
      <x:c r="I6" s="39" t="n">
        <x:f>MAX(0,MIN($G6,10)-MAX($F6,6)+1)*$D6/$E6</x:f>
        <x:v>0</x:v>
      </x:c>
      <x:c r="J6" s="39" t="n">
        <x:f>MAX(0,MIN($G6,15)-MAX($F6,11)+1)*$D6/$E6</x:f>
        <x:v>0</x:v>
      </x:c>
      <x:c r="K6" s="39" t="n">
        <x:f>MAX(0,MIN($G6,20)-MAX($F6,16)+1)*$D6/$E6</x:f>
        <x:v>0</x:v>
      </x:c>
      <x:c r="L6" s="39" t="n">
        <x:f>MAX(0,MIN($G6,25)-MAX($F6,21)+1)*$D6/$E6</x:f>
        <x:v>0</x:v>
      </x:c>
      <x:c r="M6" s="39" t="n">
        <x:f>MAX(0,MIN($G6,30)-MAX($F6,26)+1)*$D6/$E6</x:f>
        <x:v>0</x:v>
      </x:c>
      <x:c r="N6" s="39" t="n">
        <x:f>MAX(0,MIN($G6,35)-MAX($F6,31)+1)*$D6/$E6</x:f>
        <x:v>0</x:v>
      </x:c>
      <x:c r="O6" s="39" t="n">
        <x:f>MAX(0,MIN($G6,40)-MAX($F6,36)+1)*$D6/$E6</x:f>
        <x:v>0</x:v>
      </x:c>
      <x:c r="P6" s="39" t="n">
        <x:f>MAX(0,MIN($G6,45)-MAX($F6,41)+1)*$D6/$E6</x:f>
        <x:v>0</x:v>
      </x:c>
      <x:c r="Q6" s="39" t="n">
        <x:f>MAX(0,MIN($G6,50)-MAX($F6,46)+1)*$D6/$E6</x:f>
        <x:v>0</x:v>
      </x:c>
      <x:c r="R6" s="39" t="n">
        <x:f>MAX(0,MIN($G6,55)-MAX($F6,51)+1)*$D6/$E6</x:f>
        <x:v>0</x:v>
      </x:c>
      <x:c r="S6" s="39" t="n">
        <x:f>MAX(0,MIN($G6,60)-MAX($F6,56)+1)*$D6/$E6</x:f>
        <x:v>0</x:v>
      </x:c>
      <x:c r="T6" s="39" t="n">
        <x:f>MAX(0,MIN($G6,65)-MAX($F6,61)+1)*$D6/$E6</x:f>
        <x:v>0</x:v>
      </x:c>
      <x:c r="U6" s="39" t="n">
        <x:f>MAX(0,MIN($G6,70)-MAX($F6,66)+1)*$D6/$E6</x:f>
        <x:v>0</x:v>
      </x:c>
      <x:c r="V6" s="39" t="n">
        <x:f>MAX(0,MIN($G6,75)-MAX($F6,71)+1)*$D6/$E6</x:f>
        <x:v>0</x:v>
      </x:c>
      <x:c r="W6" s="39" t="n">
        <x:f>MAX(0,MIN($G6,80)-MAX($F6,76)+1)*$D6/$E6</x:f>
        <x:v>0</x:v>
      </x:c>
      <x:c r="X6" s="39" t="n">
        <x:f>MAX(0,MIN($G6,85)-MAX($F6,81)+1)*$D6/$E6</x:f>
        <x:v>0</x:v>
      </x:c>
      <x:c r="Y6" s="39" t="n">
        <x:f>MAX(0,MIN($G6,90)-MAX($F6,86)+1)*$D6/$E6</x:f>
        <x:v>0</x:v>
      </x:c>
      <x:c r="Z6" s="39" t="n">
        <x:f>MAX(0,MIN($G6,95)-MAX($F6,91)+1)*$D6/$E6</x:f>
        <x:v>0</x:v>
      </x:c>
      <x:c r="AA6" s="39" t="n">
        <x:f>MAX(0,MIN($G6,100)-MAX($F6,96)+1)*$D6/$E6</x:f>
        <x:v>0</x:v>
      </x:c>
      <x:c r="AB6" s="39" t="n">
        <x:f>MAX(0,MIN($G6,105)-MAX($F6,101)+1)*$D6/$E6</x:f>
        <x:v>0</x:v>
      </x:c>
      <x:c r="AC6" s="39" t="n">
        <x:f>MAX(0,MIN($G6,110)-MAX($F6,106)+1)*$D6/$E6</x:f>
        <x:v>0</x:v>
      </x:c>
      <x:c r="AD6" s="39" t="n">
        <x:f>MAX(0,MIN($G6,115)-MAX($F6,111)+1)*$D6/$E6</x:f>
        <x:v>0</x:v>
      </x:c>
      <x:c r="AE6" s="39" t="n">
        <x:f>MAX(0,MIN($G6,120)-MAX($F6,116)+1)*$D6/$E6</x:f>
        <x:v>0</x:v>
      </x:c>
      <x:c r="AF6" s="39" t="n">
        <x:f>MAX(0,MIN($G6,125)-MAX($F6,121)+1)*$D6/$E6</x:f>
        <x:v>0</x:v>
      </x:c>
      <x:c r="AG6" s="39" t="n">
        <x:f>MAX(0,MIN($G6,130)-MAX($F6,126)+1)*$D6/$E6</x:f>
        <x:v>0</x:v>
      </x:c>
      <x:c r="AH6" s="39" t="n">
        <x:f>MAX(0,MIN($G6,135)-MAX($F6,131)+1)*$D6/$E6</x:f>
        <x:v>0</x:v>
      </x:c>
      <x:c r="AI6" s="39" t="n">
        <x:f>MAX(0,MIN($G6,140)-MAX($F6,136)+1)*$D6/$E6</x:f>
        <x:v>0</x:v>
      </x:c>
      <x:c r="AJ6" s="39" t="n">
        <x:f>MAX(0,MIN($G6,145)-MAX($F6,141)+1)*$D6/$E6</x:f>
        <x:v>0</x:v>
      </x:c>
      <x:c r="AK6" s="39" t="n">
        <x:f>MAX(0,MIN($G6,150)-MAX($F6,146)+1)*$D6/$E6</x:f>
        <x:v>0</x:v>
      </x:c>
      <x:c r="AL6" s="39" t="n">
        <x:f>MAX(0,MIN($G6,155)-MAX($F6,151)+1)*$D6/$E6</x:f>
        <x:v>0</x:v>
      </x:c>
      <x:c r="AM6" s="39" t="n">
        <x:f>MAX(0,MIN($G6,160)-MAX($F6,156)+1)*$D6/$E6</x:f>
        <x:v>0</x:v>
      </x:c>
      <x:c r="AN6" s="39" t="n">
        <x:f>MAX(0,MIN($G6,165)-MAX($F6,161)+1)*$D6/$E6</x:f>
        <x:v>0</x:v>
      </x:c>
      <x:c r="AO6" s="39" t="n">
        <x:f>MAX(0,MIN($G6,170)-MAX($F6,166)+1)*$D6/$E6</x:f>
        <x:v>0</x:v>
      </x:c>
      <x:c r="AP6" s="39" t="n">
        <x:f>MAX(0,MIN($G6,175)-MAX($F6,171)+1)*$D6/$E6</x:f>
        <x:v>0</x:v>
      </x:c>
      <x:c r="AQ6" s="39" t="n">
        <x:f>MAX(0,MIN($G6,180)-MAX($F6,176)+1)*$D6/$E6</x:f>
        <x:v>0</x:v>
      </x:c>
    </x:row>
    <x:row r="7" ht="27" customHeight="1">
      <x:c r="A7" s="9" t="str">
        <x:v>B01</x:v>
      </x:c>
      <x:c r="B7" s="9" t="str">
        <x:f>'Tasks'!P6</x:f>
        <x:v>SEC</x:v>
      </x:c>
      <x:c r="C7" s="9" t="str">
        <x:v>Review</x:v>
      </x:c>
      <x:c r="D7" s="40" t="n">
        <x:f>'Tasks'!Q6</x:f>
        <x:v>6</x:v>
      </x:c>
      <x:c r="E7" s="40" t="n">
        <x:f>'Tasks'!F6</x:f>
        <x:v>3</x:v>
      </x:c>
      <x:c r="F7" s="40" t="n">
        <x:f>'Tasks'!K6</x:f>
        <x:v>1</x:v>
      </x:c>
      <x:c r="G7" s="40" t="n">
        <x:f>'Tasks'!L6</x:f>
        <x:v>3</x:v>
      </x:c>
      <x:c r="H7" s="40" t="n">
        <x:f>MAX(0,MIN($G7,5)-MAX($F7,1)+1)*$D7/$E7</x:f>
        <x:v>6</x:v>
      </x:c>
      <x:c r="I7" s="40" t="n">
        <x:f>MAX(0,MIN($G7,10)-MAX($F7,6)+1)*$D7/$E7</x:f>
        <x:v>0</x:v>
      </x:c>
      <x:c r="J7" s="40" t="n">
        <x:f>MAX(0,MIN($G7,15)-MAX($F7,11)+1)*$D7/$E7</x:f>
        <x:v>0</x:v>
      </x:c>
      <x:c r="K7" s="40" t="n">
        <x:f>MAX(0,MIN($G7,20)-MAX($F7,16)+1)*$D7/$E7</x:f>
        <x:v>0</x:v>
      </x:c>
      <x:c r="L7" s="40" t="n">
        <x:f>MAX(0,MIN($G7,25)-MAX($F7,21)+1)*$D7/$E7</x:f>
        <x:v>0</x:v>
      </x:c>
      <x:c r="M7" s="40" t="n">
        <x:f>MAX(0,MIN($G7,30)-MAX($F7,26)+1)*$D7/$E7</x:f>
        <x:v>0</x:v>
      </x:c>
      <x:c r="N7" s="40" t="n">
        <x:f>MAX(0,MIN($G7,35)-MAX($F7,31)+1)*$D7/$E7</x:f>
        <x:v>0</x:v>
      </x:c>
      <x:c r="O7" s="40" t="n">
        <x:f>MAX(0,MIN($G7,40)-MAX($F7,36)+1)*$D7/$E7</x:f>
        <x:v>0</x:v>
      </x:c>
      <x:c r="P7" s="40" t="n">
        <x:f>MAX(0,MIN($G7,45)-MAX($F7,41)+1)*$D7/$E7</x:f>
        <x:v>0</x:v>
      </x:c>
      <x:c r="Q7" s="40" t="n">
        <x:f>MAX(0,MIN($G7,50)-MAX($F7,46)+1)*$D7/$E7</x:f>
        <x:v>0</x:v>
      </x:c>
      <x:c r="R7" s="40" t="n">
        <x:f>MAX(0,MIN($G7,55)-MAX($F7,51)+1)*$D7/$E7</x:f>
        <x:v>0</x:v>
      </x:c>
      <x:c r="S7" s="40" t="n">
        <x:f>MAX(0,MIN($G7,60)-MAX($F7,56)+1)*$D7/$E7</x:f>
        <x:v>0</x:v>
      </x:c>
      <x:c r="T7" s="40" t="n">
        <x:f>MAX(0,MIN($G7,65)-MAX($F7,61)+1)*$D7/$E7</x:f>
        <x:v>0</x:v>
      </x:c>
      <x:c r="U7" s="40" t="n">
        <x:f>MAX(0,MIN($G7,70)-MAX($F7,66)+1)*$D7/$E7</x:f>
        <x:v>0</x:v>
      </x:c>
      <x:c r="V7" s="40" t="n">
        <x:f>MAX(0,MIN($G7,75)-MAX($F7,71)+1)*$D7/$E7</x:f>
        <x:v>0</x:v>
      </x:c>
      <x:c r="W7" s="40" t="n">
        <x:f>MAX(0,MIN($G7,80)-MAX($F7,76)+1)*$D7/$E7</x:f>
        <x:v>0</x:v>
      </x:c>
      <x:c r="X7" s="40" t="n">
        <x:f>MAX(0,MIN($G7,85)-MAX($F7,81)+1)*$D7/$E7</x:f>
        <x:v>0</x:v>
      </x:c>
      <x:c r="Y7" s="40" t="n">
        <x:f>MAX(0,MIN($G7,90)-MAX($F7,86)+1)*$D7/$E7</x:f>
        <x:v>0</x:v>
      </x:c>
      <x:c r="Z7" s="40" t="n">
        <x:f>MAX(0,MIN($G7,95)-MAX($F7,91)+1)*$D7/$E7</x:f>
        <x:v>0</x:v>
      </x:c>
      <x:c r="AA7" s="40" t="n">
        <x:f>MAX(0,MIN($G7,100)-MAX($F7,96)+1)*$D7/$E7</x:f>
        <x:v>0</x:v>
      </x:c>
      <x:c r="AB7" s="40" t="n">
        <x:f>MAX(0,MIN($G7,105)-MAX($F7,101)+1)*$D7/$E7</x:f>
        <x:v>0</x:v>
      </x:c>
      <x:c r="AC7" s="40" t="n">
        <x:f>MAX(0,MIN($G7,110)-MAX($F7,106)+1)*$D7/$E7</x:f>
        <x:v>0</x:v>
      </x:c>
      <x:c r="AD7" s="40" t="n">
        <x:f>MAX(0,MIN($G7,115)-MAX($F7,111)+1)*$D7/$E7</x:f>
        <x:v>0</x:v>
      </x:c>
      <x:c r="AE7" s="40" t="n">
        <x:f>MAX(0,MIN($G7,120)-MAX($F7,116)+1)*$D7/$E7</x:f>
        <x:v>0</x:v>
      </x:c>
      <x:c r="AF7" s="40" t="n">
        <x:f>MAX(0,MIN($G7,125)-MAX($F7,121)+1)*$D7/$E7</x:f>
        <x:v>0</x:v>
      </x:c>
      <x:c r="AG7" s="40" t="n">
        <x:f>MAX(0,MIN($G7,130)-MAX($F7,126)+1)*$D7/$E7</x:f>
        <x:v>0</x:v>
      </x:c>
      <x:c r="AH7" s="40" t="n">
        <x:f>MAX(0,MIN($G7,135)-MAX($F7,131)+1)*$D7/$E7</x:f>
        <x:v>0</x:v>
      </x:c>
      <x:c r="AI7" s="40" t="n">
        <x:f>MAX(0,MIN($G7,140)-MAX($F7,136)+1)*$D7/$E7</x:f>
        <x:v>0</x:v>
      </x:c>
      <x:c r="AJ7" s="40" t="n">
        <x:f>MAX(0,MIN($G7,145)-MAX($F7,141)+1)*$D7/$E7</x:f>
        <x:v>0</x:v>
      </x:c>
      <x:c r="AK7" s="40" t="n">
        <x:f>MAX(0,MIN($G7,150)-MAX($F7,146)+1)*$D7/$E7</x:f>
        <x:v>0</x:v>
      </x:c>
      <x:c r="AL7" s="40" t="n">
        <x:f>MAX(0,MIN($G7,155)-MAX($F7,151)+1)*$D7/$E7</x:f>
        <x:v>0</x:v>
      </x:c>
      <x:c r="AM7" s="40" t="n">
        <x:f>MAX(0,MIN($G7,160)-MAX($F7,156)+1)*$D7/$E7</x:f>
        <x:v>0</x:v>
      </x:c>
      <x:c r="AN7" s="40" t="n">
        <x:f>MAX(0,MIN($G7,165)-MAX($F7,161)+1)*$D7/$E7</x:f>
        <x:v>0</x:v>
      </x:c>
      <x:c r="AO7" s="40" t="n">
        <x:f>MAX(0,MIN($G7,170)-MAX($F7,166)+1)*$D7/$E7</x:f>
        <x:v>0</x:v>
      </x:c>
      <x:c r="AP7" s="40" t="n">
        <x:f>MAX(0,MIN($G7,175)-MAX($F7,171)+1)*$D7/$E7</x:f>
        <x:v>0</x:v>
      </x:c>
      <x:c r="AQ7" s="40" t="n">
        <x:f>MAX(0,MIN($G7,180)-MAX($F7,176)+1)*$D7/$E7</x:f>
        <x:v>0</x:v>
      </x:c>
    </x:row>
    <x:row r="8" ht="27" customHeight="1">
      <x:c r="A8" s="10" t="str">
        <x:v>B02</x:v>
      </x:c>
      <x:c r="B8" s="10" t="str">
        <x:f>'Tasks'!D7</x:f>
        <x:v>AI</x:v>
      </x:c>
      <x:c r="C8" s="10" t="str">
        <x:v>Owner</x:v>
      </x:c>
      <x:c r="D8" s="39" t="n">
        <x:f>'Tasks'!O7</x:f>
        <x:v>12</x:v>
      </x:c>
      <x:c r="E8" s="39" t="n">
        <x:f>'Tasks'!F7</x:f>
        <x:v>2</x:v>
      </x:c>
      <x:c r="F8" s="39" t="n">
        <x:f>'Tasks'!K7</x:f>
        <x:v>4</x:v>
      </x:c>
      <x:c r="G8" s="39" t="n">
        <x:f>'Tasks'!L7</x:f>
        <x:v>5</x:v>
      </x:c>
      <x:c r="H8" s="39" t="n">
        <x:f>MAX(0,MIN($G8,5)-MAX($F8,1)+1)*$D8/$E8</x:f>
        <x:v>12</x:v>
      </x:c>
      <x:c r="I8" s="39" t="n">
        <x:f>MAX(0,MIN($G8,10)-MAX($F8,6)+1)*$D8/$E8</x:f>
        <x:v>0</x:v>
      </x:c>
      <x:c r="J8" s="39" t="n">
        <x:f>MAX(0,MIN($G8,15)-MAX($F8,11)+1)*$D8/$E8</x:f>
        <x:v>0</x:v>
      </x:c>
      <x:c r="K8" s="39" t="n">
        <x:f>MAX(0,MIN($G8,20)-MAX($F8,16)+1)*$D8/$E8</x:f>
        <x:v>0</x:v>
      </x:c>
      <x:c r="L8" s="39" t="n">
        <x:f>MAX(0,MIN($G8,25)-MAX($F8,21)+1)*$D8/$E8</x:f>
        <x:v>0</x:v>
      </x:c>
      <x:c r="M8" s="39" t="n">
        <x:f>MAX(0,MIN($G8,30)-MAX($F8,26)+1)*$D8/$E8</x:f>
        <x:v>0</x:v>
      </x:c>
      <x:c r="N8" s="39" t="n">
        <x:f>MAX(0,MIN($G8,35)-MAX($F8,31)+1)*$D8/$E8</x:f>
        <x:v>0</x:v>
      </x:c>
      <x:c r="O8" s="39" t="n">
        <x:f>MAX(0,MIN($G8,40)-MAX($F8,36)+1)*$D8/$E8</x:f>
        <x:v>0</x:v>
      </x:c>
      <x:c r="P8" s="39" t="n">
        <x:f>MAX(0,MIN($G8,45)-MAX($F8,41)+1)*$D8/$E8</x:f>
        <x:v>0</x:v>
      </x:c>
      <x:c r="Q8" s="39" t="n">
        <x:f>MAX(0,MIN($G8,50)-MAX($F8,46)+1)*$D8/$E8</x:f>
        <x:v>0</x:v>
      </x:c>
      <x:c r="R8" s="39" t="n">
        <x:f>MAX(0,MIN($G8,55)-MAX($F8,51)+1)*$D8/$E8</x:f>
        <x:v>0</x:v>
      </x:c>
      <x:c r="S8" s="39" t="n">
        <x:f>MAX(0,MIN($G8,60)-MAX($F8,56)+1)*$D8/$E8</x:f>
        <x:v>0</x:v>
      </x:c>
      <x:c r="T8" s="39" t="n">
        <x:f>MAX(0,MIN($G8,65)-MAX($F8,61)+1)*$D8/$E8</x:f>
        <x:v>0</x:v>
      </x:c>
      <x:c r="U8" s="39" t="n">
        <x:f>MAX(0,MIN($G8,70)-MAX($F8,66)+1)*$D8/$E8</x:f>
        <x:v>0</x:v>
      </x:c>
      <x:c r="V8" s="39" t="n">
        <x:f>MAX(0,MIN($G8,75)-MAX($F8,71)+1)*$D8/$E8</x:f>
        <x:v>0</x:v>
      </x:c>
      <x:c r="W8" s="39" t="n">
        <x:f>MAX(0,MIN($G8,80)-MAX($F8,76)+1)*$D8/$E8</x:f>
        <x:v>0</x:v>
      </x:c>
      <x:c r="X8" s="39" t="n">
        <x:f>MAX(0,MIN($G8,85)-MAX($F8,81)+1)*$D8/$E8</x:f>
        <x:v>0</x:v>
      </x:c>
      <x:c r="Y8" s="39" t="n">
        <x:f>MAX(0,MIN($G8,90)-MAX($F8,86)+1)*$D8/$E8</x:f>
        <x:v>0</x:v>
      </x:c>
      <x:c r="Z8" s="39" t="n">
        <x:f>MAX(0,MIN($G8,95)-MAX($F8,91)+1)*$D8/$E8</x:f>
        <x:v>0</x:v>
      </x:c>
      <x:c r="AA8" s="39" t="n">
        <x:f>MAX(0,MIN($G8,100)-MAX($F8,96)+1)*$D8/$E8</x:f>
        <x:v>0</x:v>
      </x:c>
      <x:c r="AB8" s="39" t="n">
        <x:f>MAX(0,MIN($G8,105)-MAX($F8,101)+1)*$D8/$E8</x:f>
        <x:v>0</x:v>
      </x:c>
      <x:c r="AC8" s="39" t="n">
        <x:f>MAX(0,MIN($G8,110)-MAX($F8,106)+1)*$D8/$E8</x:f>
        <x:v>0</x:v>
      </x:c>
      <x:c r="AD8" s="39" t="n">
        <x:f>MAX(0,MIN($G8,115)-MAX($F8,111)+1)*$D8/$E8</x:f>
        <x:v>0</x:v>
      </x:c>
      <x:c r="AE8" s="39" t="n">
        <x:f>MAX(0,MIN($G8,120)-MAX($F8,116)+1)*$D8/$E8</x:f>
        <x:v>0</x:v>
      </x:c>
      <x:c r="AF8" s="39" t="n">
        <x:f>MAX(0,MIN($G8,125)-MAX($F8,121)+1)*$D8/$E8</x:f>
        <x:v>0</x:v>
      </x:c>
      <x:c r="AG8" s="39" t="n">
        <x:f>MAX(0,MIN($G8,130)-MAX($F8,126)+1)*$D8/$E8</x:f>
        <x:v>0</x:v>
      </x:c>
      <x:c r="AH8" s="39" t="n">
        <x:f>MAX(0,MIN($G8,135)-MAX($F8,131)+1)*$D8/$E8</x:f>
        <x:v>0</x:v>
      </x:c>
      <x:c r="AI8" s="39" t="n">
        <x:f>MAX(0,MIN($G8,140)-MAX($F8,136)+1)*$D8/$E8</x:f>
        <x:v>0</x:v>
      </x:c>
      <x:c r="AJ8" s="39" t="n">
        <x:f>MAX(0,MIN($G8,145)-MAX($F8,141)+1)*$D8/$E8</x:f>
        <x:v>0</x:v>
      </x:c>
      <x:c r="AK8" s="39" t="n">
        <x:f>MAX(0,MIN($G8,150)-MAX($F8,146)+1)*$D8/$E8</x:f>
        <x:v>0</x:v>
      </x:c>
      <x:c r="AL8" s="39" t="n">
        <x:f>MAX(0,MIN($G8,155)-MAX($F8,151)+1)*$D8/$E8</x:f>
        <x:v>0</x:v>
      </x:c>
      <x:c r="AM8" s="39" t="n">
        <x:f>MAX(0,MIN($G8,160)-MAX($F8,156)+1)*$D8/$E8</x:f>
        <x:v>0</x:v>
      </x:c>
      <x:c r="AN8" s="39" t="n">
        <x:f>MAX(0,MIN($G8,165)-MAX($F8,161)+1)*$D8/$E8</x:f>
        <x:v>0</x:v>
      </x:c>
      <x:c r="AO8" s="39" t="n">
        <x:f>MAX(0,MIN($G8,170)-MAX($F8,166)+1)*$D8/$E8</x:f>
        <x:v>0</x:v>
      </x:c>
      <x:c r="AP8" s="39" t="n">
        <x:f>MAX(0,MIN($G8,175)-MAX($F8,171)+1)*$D8/$E8</x:f>
        <x:v>0</x:v>
      </x:c>
      <x:c r="AQ8" s="39" t="n">
        <x:f>MAX(0,MIN($G8,180)-MAX($F8,176)+1)*$D8/$E8</x:f>
        <x:v>0</x:v>
      </x:c>
    </x:row>
    <x:row r="9" ht="27" customHeight="1">
      <x:c r="A9" s="9" t="str">
        <x:v>B02</x:v>
      </x:c>
      <x:c r="B9" s="9" t="str">
        <x:f>'Tasks'!P7</x:f>
        <x:v>OPS</x:v>
      </x:c>
      <x:c r="C9" s="9" t="str">
        <x:v>Review</x:v>
      </x:c>
      <x:c r="D9" s="40" t="n">
        <x:f>'Tasks'!Q7</x:f>
        <x:v>4</x:v>
      </x:c>
      <x:c r="E9" s="40" t="n">
        <x:f>'Tasks'!F7</x:f>
        <x:v>2</x:v>
      </x:c>
      <x:c r="F9" s="40" t="n">
        <x:f>'Tasks'!K7</x:f>
        <x:v>4</x:v>
      </x:c>
      <x:c r="G9" s="40" t="n">
        <x:f>'Tasks'!L7</x:f>
        <x:v>5</x:v>
      </x:c>
      <x:c r="H9" s="40" t="n">
        <x:f>MAX(0,MIN($G9,5)-MAX($F9,1)+1)*$D9/$E9</x:f>
        <x:v>4</x:v>
      </x:c>
      <x:c r="I9" s="40" t="n">
        <x:f>MAX(0,MIN($G9,10)-MAX($F9,6)+1)*$D9/$E9</x:f>
        <x:v>0</x:v>
      </x:c>
      <x:c r="J9" s="40" t="n">
        <x:f>MAX(0,MIN($G9,15)-MAX($F9,11)+1)*$D9/$E9</x:f>
        <x:v>0</x:v>
      </x:c>
      <x:c r="K9" s="40" t="n">
        <x:f>MAX(0,MIN($G9,20)-MAX($F9,16)+1)*$D9/$E9</x:f>
        <x:v>0</x:v>
      </x:c>
      <x:c r="L9" s="40" t="n">
        <x:f>MAX(0,MIN($G9,25)-MAX($F9,21)+1)*$D9/$E9</x:f>
        <x:v>0</x:v>
      </x:c>
      <x:c r="M9" s="40" t="n">
        <x:f>MAX(0,MIN($G9,30)-MAX($F9,26)+1)*$D9/$E9</x:f>
        <x:v>0</x:v>
      </x:c>
      <x:c r="N9" s="40" t="n">
        <x:f>MAX(0,MIN($G9,35)-MAX($F9,31)+1)*$D9/$E9</x:f>
        <x:v>0</x:v>
      </x:c>
      <x:c r="O9" s="40" t="n">
        <x:f>MAX(0,MIN($G9,40)-MAX($F9,36)+1)*$D9/$E9</x:f>
        <x:v>0</x:v>
      </x:c>
      <x:c r="P9" s="40" t="n">
        <x:f>MAX(0,MIN($G9,45)-MAX($F9,41)+1)*$D9/$E9</x:f>
        <x:v>0</x:v>
      </x:c>
      <x:c r="Q9" s="40" t="n">
        <x:f>MAX(0,MIN($G9,50)-MAX($F9,46)+1)*$D9/$E9</x:f>
        <x:v>0</x:v>
      </x:c>
      <x:c r="R9" s="40" t="n">
        <x:f>MAX(0,MIN($G9,55)-MAX($F9,51)+1)*$D9/$E9</x:f>
        <x:v>0</x:v>
      </x:c>
      <x:c r="S9" s="40" t="n">
        <x:f>MAX(0,MIN($G9,60)-MAX($F9,56)+1)*$D9/$E9</x:f>
        <x:v>0</x:v>
      </x:c>
      <x:c r="T9" s="40" t="n">
        <x:f>MAX(0,MIN($G9,65)-MAX($F9,61)+1)*$D9/$E9</x:f>
        <x:v>0</x:v>
      </x:c>
      <x:c r="U9" s="40" t="n">
        <x:f>MAX(0,MIN($G9,70)-MAX($F9,66)+1)*$D9/$E9</x:f>
        <x:v>0</x:v>
      </x:c>
      <x:c r="V9" s="40" t="n">
        <x:f>MAX(0,MIN($G9,75)-MAX($F9,71)+1)*$D9/$E9</x:f>
        <x:v>0</x:v>
      </x:c>
      <x:c r="W9" s="40" t="n">
        <x:f>MAX(0,MIN($G9,80)-MAX($F9,76)+1)*$D9/$E9</x:f>
        <x:v>0</x:v>
      </x:c>
      <x:c r="X9" s="40" t="n">
        <x:f>MAX(0,MIN($G9,85)-MAX($F9,81)+1)*$D9/$E9</x:f>
        <x:v>0</x:v>
      </x:c>
      <x:c r="Y9" s="40" t="n">
        <x:f>MAX(0,MIN($G9,90)-MAX($F9,86)+1)*$D9/$E9</x:f>
        <x:v>0</x:v>
      </x:c>
      <x:c r="Z9" s="40" t="n">
        <x:f>MAX(0,MIN($G9,95)-MAX($F9,91)+1)*$D9/$E9</x:f>
        <x:v>0</x:v>
      </x:c>
      <x:c r="AA9" s="40" t="n">
        <x:f>MAX(0,MIN($G9,100)-MAX($F9,96)+1)*$D9/$E9</x:f>
        <x:v>0</x:v>
      </x:c>
      <x:c r="AB9" s="40" t="n">
        <x:f>MAX(0,MIN($G9,105)-MAX($F9,101)+1)*$D9/$E9</x:f>
        <x:v>0</x:v>
      </x:c>
      <x:c r="AC9" s="40" t="n">
        <x:f>MAX(0,MIN($G9,110)-MAX($F9,106)+1)*$D9/$E9</x:f>
        <x:v>0</x:v>
      </x:c>
      <x:c r="AD9" s="40" t="n">
        <x:f>MAX(0,MIN($G9,115)-MAX($F9,111)+1)*$D9/$E9</x:f>
        <x:v>0</x:v>
      </x:c>
      <x:c r="AE9" s="40" t="n">
        <x:f>MAX(0,MIN($G9,120)-MAX($F9,116)+1)*$D9/$E9</x:f>
        <x:v>0</x:v>
      </x:c>
      <x:c r="AF9" s="40" t="n">
        <x:f>MAX(0,MIN($G9,125)-MAX($F9,121)+1)*$D9/$E9</x:f>
        <x:v>0</x:v>
      </x:c>
      <x:c r="AG9" s="40" t="n">
        <x:f>MAX(0,MIN($G9,130)-MAX($F9,126)+1)*$D9/$E9</x:f>
        <x:v>0</x:v>
      </x:c>
      <x:c r="AH9" s="40" t="n">
        <x:f>MAX(0,MIN($G9,135)-MAX($F9,131)+1)*$D9/$E9</x:f>
        <x:v>0</x:v>
      </x:c>
      <x:c r="AI9" s="40" t="n">
        <x:f>MAX(0,MIN($G9,140)-MAX($F9,136)+1)*$D9/$E9</x:f>
        <x:v>0</x:v>
      </x:c>
      <x:c r="AJ9" s="40" t="n">
        <x:f>MAX(0,MIN($G9,145)-MAX($F9,141)+1)*$D9/$E9</x:f>
        <x:v>0</x:v>
      </x:c>
      <x:c r="AK9" s="40" t="n">
        <x:f>MAX(0,MIN($G9,150)-MAX($F9,146)+1)*$D9/$E9</x:f>
        <x:v>0</x:v>
      </x:c>
      <x:c r="AL9" s="40" t="n">
        <x:f>MAX(0,MIN($G9,155)-MAX($F9,151)+1)*$D9/$E9</x:f>
        <x:v>0</x:v>
      </x:c>
      <x:c r="AM9" s="40" t="n">
        <x:f>MAX(0,MIN($G9,160)-MAX($F9,156)+1)*$D9/$E9</x:f>
        <x:v>0</x:v>
      </x:c>
      <x:c r="AN9" s="40" t="n">
        <x:f>MAX(0,MIN($G9,165)-MAX($F9,161)+1)*$D9/$E9</x:f>
        <x:v>0</x:v>
      </x:c>
      <x:c r="AO9" s="40" t="n">
        <x:f>MAX(0,MIN($G9,170)-MAX($F9,166)+1)*$D9/$E9</x:f>
        <x:v>0</x:v>
      </x:c>
      <x:c r="AP9" s="40" t="n">
        <x:f>MAX(0,MIN($G9,175)-MAX($F9,171)+1)*$D9/$E9</x:f>
        <x:v>0</x:v>
      </x:c>
      <x:c r="AQ9" s="40" t="n">
        <x:f>MAX(0,MIN($G9,180)-MAX($F9,176)+1)*$D9/$E9</x:f>
        <x:v>0</x:v>
      </x:c>
    </x:row>
    <x:row r="10" ht="27" customHeight="1">
      <x:c r="A10" s="10" t="str">
        <x:v>B03</x:v>
      </x:c>
      <x:c r="B10" s="10" t="str">
        <x:f>'Tasks'!D8</x:f>
        <x:v>HP</x:v>
      </x:c>
      <x:c r="C10" s="10" t="str">
        <x:v>Owner</x:v>
      </x:c>
      <x:c r="D10" s="39" t="n">
        <x:f>'Tasks'!O8</x:f>
        <x:v>4</x:v>
      </x:c>
      <x:c r="E10" s="39" t="n">
        <x:f>'Tasks'!F8</x:f>
        <x:v>1</x:v>
      </x:c>
      <x:c r="F10" s="39" t="n">
        <x:f>'Tasks'!K8</x:f>
        <x:v>1</x:v>
      </x:c>
      <x:c r="G10" s="39" t="n">
        <x:f>'Tasks'!L8</x:f>
        <x:v>1</x:v>
      </x:c>
      <x:c r="H10" s="39" t="n">
        <x:f>MAX(0,MIN($G10,5)-MAX($F10,1)+1)*$D10/$E10</x:f>
        <x:v>4</x:v>
      </x:c>
      <x:c r="I10" s="39" t="n">
        <x:f>MAX(0,MIN($G10,10)-MAX($F10,6)+1)*$D10/$E10</x:f>
        <x:v>0</x:v>
      </x:c>
      <x:c r="J10" s="39" t="n">
        <x:f>MAX(0,MIN($G10,15)-MAX($F10,11)+1)*$D10/$E10</x:f>
        <x:v>0</x:v>
      </x:c>
      <x:c r="K10" s="39" t="n">
        <x:f>MAX(0,MIN($G10,20)-MAX($F10,16)+1)*$D10/$E10</x:f>
        <x:v>0</x:v>
      </x:c>
      <x:c r="L10" s="39" t="n">
        <x:f>MAX(0,MIN($G10,25)-MAX($F10,21)+1)*$D10/$E10</x:f>
        <x:v>0</x:v>
      </x:c>
      <x:c r="M10" s="39" t="n">
        <x:f>MAX(0,MIN($G10,30)-MAX($F10,26)+1)*$D10/$E10</x:f>
        <x:v>0</x:v>
      </x:c>
      <x:c r="N10" s="39" t="n">
        <x:f>MAX(0,MIN($G10,35)-MAX($F10,31)+1)*$D10/$E10</x:f>
        <x:v>0</x:v>
      </x:c>
      <x:c r="O10" s="39" t="n">
        <x:f>MAX(0,MIN($G10,40)-MAX($F10,36)+1)*$D10/$E10</x:f>
        <x:v>0</x:v>
      </x:c>
      <x:c r="P10" s="39" t="n">
        <x:f>MAX(0,MIN($G10,45)-MAX($F10,41)+1)*$D10/$E10</x:f>
        <x:v>0</x:v>
      </x:c>
      <x:c r="Q10" s="39" t="n">
        <x:f>MAX(0,MIN($G10,50)-MAX($F10,46)+1)*$D10/$E10</x:f>
        <x:v>0</x:v>
      </x:c>
      <x:c r="R10" s="39" t="n">
        <x:f>MAX(0,MIN($G10,55)-MAX($F10,51)+1)*$D10/$E10</x:f>
        <x:v>0</x:v>
      </x:c>
      <x:c r="S10" s="39" t="n">
        <x:f>MAX(0,MIN($G10,60)-MAX($F10,56)+1)*$D10/$E10</x:f>
        <x:v>0</x:v>
      </x:c>
      <x:c r="T10" s="39" t="n">
        <x:f>MAX(0,MIN($G10,65)-MAX($F10,61)+1)*$D10/$E10</x:f>
        <x:v>0</x:v>
      </x:c>
      <x:c r="U10" s="39" t="n">
        <x:f>MAX(0,MIN($G10,70)-MAX($F10,66)+1)*$D10/$E10</x:f>
        <x:v>0</x:v>
      </x:c>
      <x:c r="V10" s="39" t="n">
        <x:f>MAX(0,MIN($G10,75)-MAX($F10,71)+1)*$D10/$E10</x:f>
        <x:v>0</x:v>
      </x:c>
      <x:c r="W10" s="39" t="n">
        <x:f>MAX(0,MIN($G10,80)-MAX($F10,76)+1)*$D10/$E10</x:f>
        <x:v>0</x:v>
      </x:c>
      <x:c r="X10" s="39" t="n">
        <x:f>MAX(0,MIN($G10,85)-MAX($F10,81)+1)*$D10/$E10</x:f>
        <x:v>0</x:v>
      </x:c>
      <x:c r="Y10" s="39" t="n">
        <x:f>MAX(0,MIN($G10,90)-MAX($F10,86)+1)*$D10/$E10</x:f>
        <x:v>0</x:v>
      </x:c>
      <x:c r="Z10" s="39" t="n">
        <x:f>MAX(0,MIN($G10,95)-MAX($F10,91)+1)*$D10/$E10</x:f>
        <x:v>0</x:v>
      </x:c>
      <x:c r="AA10" s="39" t="n">
        <x:f>MAX(0,MIN($G10,100)-MAX($F10,96)+1)*$D10/$E10</x:f>
        <x:v>0</x:v>
      </x:c>
      <x:c r="AB10" s="39" t="n">
        <x:f>MAX(0,MIN($G10,105)-MAX($F10,101)+1)*$D10/$E10</x:f>
        <x:v>0</x:v>
      </x:c>
      <x:c r="AC10" s="39" t="n">
        <x:f>MAX(0,MIN($G10,110)-MAX($F10,106)+1)*$D10/$E10</x:f>
        <x:v>0</x:v>
      </x:c>
      <x:c r="AD10" s="39" t="n">
        <x:f>MAX(0,MIN($G10,115)-MAX($F10,111)+1)*$D10/$E10</x:f>
        <x:v>0</x:v>
      </x:c>
      <x:c r="AE10" s="39" t="n">
        <x:f>MAX(0,MIN($G10,120)-MAX($F10,116)+1)*$D10/$E10</x:f>
        <x:v>0</x:v>
      </x:c>
      <x:c r="AF10" s="39" t="n">
        <x:f>MAX(0,MIN($G10,125)-MAX($F10,121)+1)*$D10/$E10</x:f>
        <x:v>0</x:v>
      </x:c>
      <x:c r="AG10" s="39" t="n">
        <x:f>MAX(0,MIN($G10,130)-MAX($F10,126)+1)*$D10/$E10</x:f>
        <x:v>0</x:v>
      </x:c>
      <x:c r="AH10" s="39" t="n">
        <x:f>MAX(0,MIN($G10,135)-MAX($F10,131)+1)*$D10/$E10</x:f>
        <x:v>0</x:v>
      </x:c>
      <x:c r="AI10" s="39" t="n">
        <x:f>MAX(0,MIN($G10,140)-MAX($F10,136)+1)*$D10/$E10</x:f>
        <x:v>0</x:v>
      </x:c>
      <x:c r="AJ10" s="39" t="n">
        <x:f>MAX(0,MIN($G10,145)-MAX($F10,141)+1)*$D10/$E10</x:f>
        <x:v>0</x:v>
      </x:c>
      <x:c r="AK10" s="39" t="n">
        <x:f>MAX(0,MIN($G10,150)-MAX($F10,146)+1)*$D10/$E10</x:f>
        <x:v>0</x:v>
      </x:c>
      <x:c r="AL10" s="39" t="n">
        <x:f>MAX(0,MIN($G10,155)-MAX($F10,151)+1)*$D10/$E10</x:f>
        <x:v>0</x:v>
      </x:c>
      <x:c r="AM10" s="39" t="n">
        <x:f>MAX(0,MIN($G10,160)-MAX($F10,156)+1)*$D10/$E10</x:f>
        <x:v>0</x:v>
      </x:c>
      <x:c r="AN10" s="39" t="n">
        <x:f>MAX(0,MIN($G10,165)-MAX($F10,161)+1)*$D10/$E10</x:f>
        <x:v>0</x:v>
      </x:c>
      <x:c r="AO10" s="39" t="n">
        <x:f>MAX(0,MIN($G10,170)-MAX($F10,166)+1)*$D10/$E10</x:f>
        <x:v>0</x:v>
      </x:c>
      <x:c r="AP10" s="39" t="n">
        <x:f>MAX(0,MIN($G10,175)-MAX($F10,171)+1)*$D10/$E10</x:f>
        <x:v>0</x:v>
      </x:c>
      <x:c r="AQ10" s="39" t="n">
        <x:f>MAX(0,MIN($G10,180)-MAX($F10,176)+1)*$D10/$E10</x:f>
        <x:v>0</x:v>
      </x:c>
    </x:row>
    <x:row r="11" ht="27" customHeight="1">
      <x:c r="A11" s="9" t="str">
        <x:v>B03</x:v>
      </x:c>
      <x:c r="B11" s="9" t="str">
        <x:f>'Tasks'!P8</x:f>
        <x:v>SEC</x:v>
      </x:c>
      <x:c r="C11" s="9" t="str">
        <x:v>Review</x:v>
      </x:c>
      <x:c r="D11" s="40" t="n">
        <x:f>'Tasks'!Q8</x:f>
        <x:v>3</x:v>
      </x:c>
      <x:c r="E11" s="40" t="n">
        <x:f>'Tasks'!F8</x:f>
        <x:v>1</x:v>
      </x:c>
      <x:c r="F11" s="40" t="n">
        <x:f>'Tasks'!K8</x:f>
        <x:v>1</x:v>
      </x:c>
      <x:c r="G11" s="40" t="n">
        <x:f>'Tasks'!L8</x:f>
        <x:v>1</x:v>
      </x:c>
      <x:c r="H11" s="40" t="n">
        <x:f>MAX(0,MIN($G11,5)-MAX($F11,1)+1)*$D11/$E11</x:f>
        <x:v>3</x:v>
      </x:c>
      <x:c r="I11" s="40" t="n">
        <x:f>MAX(0,MIN($G11,10)-MAX($F11,6)+1)*$D11/$E11</x:f>
        <x:v>0</x:v>
      </x:c>
      <x:c r="J11" s="40" t="n">
        <x:f>MAX(0,MIN($G11,15)-MAX($F11,11)+1)*$D11/$E11</x:f>
        <x:v>0</x:v>
      </x:c>
      <x:c r="K11" s="40" t="n">
        <x:f>MAX(0,MIN($G11,20)-MAX($F11,16)+1)*$D11/$E11</x:f>
        <x:v>0</x:v>
      </x:c>
      <x:c r="L11" s="40" t="n">
        <x:f>MAX(0,MIN($G11,25)-MAX($F11,21)+1)*$D11/$E11</x:f>
        <x:v>0</x:v>
      </x:c>
      <x:c r="M11" s="40" t="n">
        <x:f>MAX(0,MIN($G11,30)-MAX($F11,26)+1)*$D11/$E11</x:f>
        <x:v>0</x:v>
      </x:c>
      <x:c r="N11" s="40" t="n">
        <x:f>MAX(0,MIN($G11,35)-MAX($F11,31)+1)*$D11/$E11</x:f>
        <x:v>0</x:v>
      </x:c>
      <x:c r="O11" s="40" t="n">
        <x:f>MAX(0,MIN($G11,40)-MAX($F11,36)+1)*$D11/$E11</x:f>
        <x:v>0</x:v>
      </x:c>
      <x:c r="P11" s="40" t="n">
        <x:f>MAX(0,MIN($G11,45)-MAX($F11,41)+1)*$D11/$E11</x:f>
        <x:v>0</x:v>
      </x:c>
      <x:c r="Q11" s="40" t="n">
        <x:f>MAX(0,MIN($G11,50)-MAX($F11,46)+1)*$D11/$E11</x:f>
        <x:v>0</x:v>
      </x:c>
      <x:c r="R11" s="40" t="n">
        <x:f>MAX(0,MIN($G11,55)-MAX($F11,51)+1)*$D11/$E11</x:f>
        <x:v>0</x:v>
      </x:c>
      <x:c r="S11" s="40" t="n">
        <x:f>MAX(0,MIN($G11,60)-MAX($F11,56)+1)*$D11/$E11</x:f>
        <x:v>0</x:v>
      </x:c>
      <x:c r="T11" s="40" t="n">
        <x:f>MAX(0,MIN($G11,65)-MAX($F11,61)+1)*$D11/$E11</x:f>
        <x:v>0</x:v>
      </x:c>
      <x:c r="U11" s="40" t="n">
        <x:f>MAX(0,MIN($G11,70)-MAX($F11,66)+1)*$D11/$E11</x:f>
        <x:v>0</x:v>
      </x:c>
      <x:c r="V11" s="40" t="n">
        <x:f>MAX(0,MIN($G11,75)-MAX($F11,71)+1)*$D11/$E11</x:f>
        <x:v>0</x:v>
      </x:c>
      <x:c r="W11" s="40" t="n">
        <x:f>MAX(0,MIN($G11,80)-MAX($F11,76)+1)*$D11/$E11</x:f>
        <x:v>0</x:v>
      </x:c>
      <x:c r="X11" s="40" t="n">
        <x:f>MAX(0,MIN($G11,85)-MAX($F11,81)+1)*$D11/$E11</x:f>
        <x:v>0</x:v>
      </x:c>
      <x:c r="Y11" s="40" t="n">
        <x:f>MAX(0,MIN($G11,90)-MAX($F11,86)+1)*$D11/$E11</x:f>
        <x:v>0</x:v>
      </x:c>
      <x:c r="Z11" s="40" t="n">
        <x:f>MAX(0,MIN($G11,95)-MAX($F11,91)+1)*$D11/$E11</x:f>
        <x:v>0</x:v>
      </x:c>
      <x:c r="AA11" s="40" t="n">
        <x:f>MAX(0,MIN($G11,100)-MAX($F11,96)+1)*$D11/$E11</x:f>
        <x:v>0</x:v>
      </x:c>
      <x:c r="AB11" s="40" t="n">
        <x:f>MAX(0,MIN($G11,105)-MAX($F11,101)+1)*$D11/$E11</x:f>
        <x:v>0</x:v>
      </x:c>
      <x:c r="AC11" s="40" t="n">
        <x:f>MAX(0,MIN($G11,110)-MAX($F11,106)+1)*$D11/$E11</x:f>
        <x:v>0</x:v>
      </x:c>
      <x:c r="AD11" s="40" t="n">
        <x:f>MAX(0,MIN($G11,115)-MAX($F11,111)+1)*$D11/$E11</x:f>
        <x:v>0</x:v>
      </x:c>
      <x:c r="AE11" s="40" t="n">
        <x:f>MAX(0,MIN($G11,120)-MAX($F11,116)+1)*$D11/$E11</x:f>
        <x:v>0</x:v>
      </x:c>
      <x:c r="AF11" s="40" t="n">
        <x:f>MAX(0,MIN($G11,125)-MAX($F11,121)+1)*$D11/$E11</x:f>
        <x:v>0</x:v>
      </x:c>
      <x:c r="AG11" s="40" t="n">
        <x:f>MAX(0,MIN($G11,130)-MAX($F11,126)+1)*$D11/$E11</x:f>
        <x:v>0</x:v>
      </x:c>
      <x:c r="AH11" s="40" t="n">
        <x:f>MAX(0,MIN($G11,135)-MAX($F11,131)+1)*$D11/$E11</x:f>
        <x:v>0</x:v>
      </x:c>
      <x:c r="AI11" s="40" t="n">
        <x:f>MAX(0,MIN($G11,140)-MAX($F11,136)+1)*$D11/$E11</x:f>
        <x:v>0</x:v>
      </x:c>
      <x:c r="AJ11" s="40" t="n">
        <x:f>MAX(0,MIN($G11,145)-MAX($F11,141)+1)*$D11/$E11</x:f>
        <x:v>0</x:v>
      </x:c>
      <x:c r="AK11" s="40" t="n">
        <x:f>MAX(0,MIN($G11,150)-MAX($F11,146)+1)*$D11/$E11</x:f>
        <x:v>0</x:v>
      </x:c>
      <x:c r="AL11" s="40" t="n">
        <x:f>MAX(0,MIN($G11,155)-MAX($F11,151)+1)*$D11/$E11</x:f>
        <x:v>0</x:v>
      </x:c>
      <x:c r="AM11" s="40" t="n">
        <x:f>MAX(0,MIN($G11,160)-MAX($F11,156)+1)*$D11/$E11</x:f>
        <x:v>0</x:v>
      </x:c>
      <x:c r="AN11" s="40" t="n">
        <x:f>MAX(0,MIN($G11,165)-MAX($F11,161)+1)*$D11/$E11</x:f>
        <x:v>0</x:v>
      </x:c>
      <x:c r="AO11" s="40" t="n">
        <x:f>MAX(0,MIN($G11,170)-MAX($F11,166)+1)*$D11/$E11</x:f>
        <x:v>0</x:v>
      </x:c>
      <x:c r="AP11" s="40" t="n">
        <x:f>MAX(0,MIN($G11,175)-MAX($F11,171)+1)*$D11/$E11</x:f>
        <x:v>0</x:v>
      </x:c>
      <x:c r="AQ11" s="40" t="n">
        <x:f>MAX(0,MIN($G11,180)-MAX($F11,176)+1)*$D11/$E11</x:f>
        <x:v>0</x:v>
      </x:c>
    </x:row>
    <x:row r="12" ht="27" customHeight="1">
      <x:c r="A12" s="10" t="str">
        <x:v>B04</x:v>
      </x:c>
      <x:c r="B12" s="10" t="str">
        <x:f>'Tasks'!D9</x:f>
        <x:v>AI</x:v>
      </x:c>
      <x:c r="C12" s="10" t="str">
        <x:v>Owner</x:v>
      </x:c>
      <x:c r="D12" s="39" t="n">
        <x:f>'Tasks'!O9</x:f>
        <x:v>6</x:v>
      </x:c>
      <x:c r="E12" s="39" t="n">
        <x:f>'Tasks'!F9</x:f>
        <x:v>1</x:v>
      </x:c>
      <x:c r="F12" s="39" t="n">
        <x:f>'Tasks'!K9</x:f>
        <x:v>6</x:v>
      </x:c>
      <x:c r="G12" s="39" t="n">
        <x:f>'Tasks'!L9</x:f>
        <x:v>6</x:v>
      </x:c>
      <x:c r="H12" s="39" t="n">
        <x:f>MAX(0,MIN($G12,5)-MAX($F12,1)+1)*$D12/$E12</x:f>
        <x:v>0</x:v>
      </x:c>
      <x:c r="I12" s="39" t="n">
        <x:f>MAX(0,MIN($G12,10)-MAX($F12,6)+1)*$D12/$E12</x:f>
        <x:v>6</x:v>
      </x:c>
      <x:c r="J12" s="39" t="n">
        <x:f>MAX(0,MIN($G12,15)-MAX($F12,11)+1)*$D12/$E12</x:f>
        <x:v>0</x:v>
      </x:c>
      <x:c r="K12" s="39" t="n">
        <x:f>MAX(0,MIN($G12,20)-MAX($F12,16)+1)*$D12/$E12</x:f>
        <x:v>0</x:v>
      </x:c>
      <x:c r="L12" s="39" t="n">
        <x:f>MAX(0,MIN($G12,25)-MAX($F12,21)+1)*$D12/$E12</x:f>
        <x:v>0</x:v>
      </x:c>
      <x:c r="M12" s="39" t="n">
        <x:f>MAX(0,MIN($G12,30)-MAX($F12,26)+1)*$D12/$E12</x:f>
        <x:v>0</x:v>
      </x:c>
      <x:c r="N12" s="39" t="n">
        <x:f>MAX(0,MIN($G12,35)-MAX($F12,31)+1)*$D12/$E12</x:f>
        <x:v>0</x:v>
      </x:c>
      <x:c r="O12" s="39" t="n">
        <x:f>MAX(0,MIN($G12,40)-MAX($F12,36)+1)*$D12/$E12</x:f>
        <x:v>0</x:v>
      </x:c>
      <x:c r="P12" s="39" t="n">
        <x:f>MAX(0,MIN($G12,45)-MAX($F12,41)+1)*$D12/$E12</x:f>
        <x:v>0</x:v>
      </x:c>
      <x:c r="Q12" s="39" t="n">
        <x:f>MAX(0,MIN($G12,50)-MAX($F12,46)+1)*$D12/$E12</x:f>
        <x:v>0</x:v>
      </x:c>
      <x:c r="R12" s="39" t="n">
        <x:f>MAX(0,MIN($G12,55)-MAX($F12,51)+1)*$D12/$E12</x:f>
        <x:v>0</x:v>
      </x:c>
      <x:c r="S12" s="39" t="n">
        <x:f>MAX(0,MIN($G12,60)-MAX($F12,56)+1)*$D12/$E12</x:f>
        <x:v>0</x:v>
      </x:c>
      <x:c r="T12" s="39" t="n">
        <x:f>MAX(0,MIN($G12,65)-MAX($F12,61)+1)*$D12/$E12</x:f>
        <x:v>0</x:v>
      </x:c>
      <x:c r="U12" s="39" t="n">
        <x:f>MAX(0,MIN($G12,70)-MAX($F12,66)+1)*$D12/$E12</x:f>
        <x:v>0</x:v>
      </x:c>
      <x:c r="V12" s="39" t="n">
        <x:f>MAX(0,MIN($G12,75)-MAX($F12,71)+1)*$D12/$E12</x:f>
        <x:v>0</x:v>
      </x:c>
      <x:c r="W12" s="39" t="n">
        <x:f>MAX(0,MIN($G12,80)-MAX($F12,76)+1)*$D12/$E12</x:f>
        <x:v>0</x:v>
      </x:c>
      <x:c r="X12" s="39" t="n">
        <x:f>MAX(0,MIN($G12,85)-MAX($F12,81)+1)*$D12/$E12</x:f>
        <x:v>0</x:v>
      </x:c>
      <x:c r="Y12" s="39" t="n">
        <x:f>MAX(0,MIN($G12,90)-MAX($F12,86)+1)*$D12/$E12</x:f>
        <x:v>0</x:v>
      </x:c>
      <x:c r="Z12" s="39" t="n">
        <x:f>MAX(0,MIN($G12,95)-MAX($F12,91)+1)*$D12/$E12</x:f>
        <x:v>0</x:v>
      </x:c>
      <x:c r="AA12" s="39" t="n">
        <x:f>MAX(0,MIN($G12,100)-MAX($F12,96)+1)*$D12/$E12</x:f>
        <x:v>0</x:v>
      </x:c>
      <x:c r="AB12" s="39" t="n">
        <x:f>MAX(0,MIN($G12,105)-MAX($F12,101)+1)*$D12/$E12</x:f>
        <x:v>0</x:v>
      </x:c>
      <x:c r="AC12" s="39" t="n">
        <x:f>MAX(0,MIN($G12,110)-MAX($F12,106)+1)*$D12/$E12</x:f>
        <x:v>0</x:v>
      </x:c>
      <x:c r="AD12" s="39" t="n">
        <x:f>MAX(0,MIN($G12,115)-MAX($F12,111)+1)*$D12/$E12</x:f>
        <x:v>0</x:v>
      </x:c>
      <x:c r="AE12" s="39" t="n">
        <x:f>MAX(0,MIN($G12,120)-MAX($F12,116)+1)*$D12/$E12</x:f>
        <x:v>0</x:v>
      </x:c>
      <x:c r="AF12" s="39" t="n">
        <x:f>MAX(0,MIN($G12,125)-MAX($F12,121)+1)*$D12/$E12</x:f>
        <x:v>0</x:v>
      </x:c>
      <x:c r="AG12" s="39" t="n">
        <x:f>MAX(0,MIN($G12,130)-MAX($F12,126)+1)*$D12/$E12</x:f>
        <x:v>0</x:v>
      </x:c>
      <x:c r="AH12" s="39" t="n">
        <x:f>MAX(0,MIN($G12,135)-MAX($F12,131)+1)*$D12/$E12</x:f>
        <x:v>0</x:v>
      </x:c>
      <x:c r="AI12" s="39" t="n">
        <x:f>MAX(0,MIN($G12,140)-MAX($F12,136)+1)*$D12/$E12</x:f>
        <x:v>0</x:v>
      </x:c>
      <x:c r="AJ12" s="39" t="n">
        <x:f>MAX(0,MIN($G12,145)-MAX($F12,141)+1)*$D12/$E12</x:f>
        <x:v>0</x:v>
      </x:c>
      <x:c r="AK12" s="39" t="n">
        <x:f>MAX(0,MIN($G12,150)-MAX($F12,146)+1)*$D12/$E12</x:f>
        <x:v>0</x:v>
      </x:c>
      <x:c r="AL12" s="39" t="n">
        <x:f>MAX(0,MIN($G12,155)-MAX($F12,151)+1)*$D12/$E12</x:f>
        <x:v>0</x:v>
      </x:c>
      <x:c r="AM12" s="39" t="n">
        <x:f>MAX(0,MIN($G12,160)-MAX($F12,156)+1)*$D12/$E12</x:f>
        <x:v>0</x:v>
      </x:c>
      <x:c r="AN12" s="39" t="n">
        <x:f>MAX(0,MIN($G12,165)-MAX($F12,161)+1)*$D12/$E12</x:f>
        <x:v>0</x:v>
      </x:c>
      <x:c r="AO12" s="39" t="n">
        <x:f>MAX(0,MIN($G12,170)-MAX($F12,166)+1)*$D12/$E12</x:f>
        <x:v>0</x:v>
      </x:c>
      <x:c r="AP12" s="39" t="n">
        <x:f>MAX(0,MIN($G12,175)-MAX($F12,171)+1)*$D12/$E12</x:f>
        <x:v>0</x:v>
      </x:c>
      <x:c r="AQ12" s="39" t="n">
        <x:f>MAX(0,MIN($G12,180)-MAX($F12,176)+1)*$D12/$E12</x:f>
        <x:v>0</x:v>
      </x:c>
    </x:row>
    <x:row r="13" ht="27" customHeight="1">
      <x:c r="A13" s="9" t="str">
        <x:v>B04</x:v>
      </x:c>
      <x:c r="B13" s="9" t="str">
        <x:f>'Tasks'!P9</x:f>
        <x:v>OPS</x:v>
      </x:c>
      <x:c r="C13" s="9" t="str">
        <x:v>Review</x:v>
      </x:c>
      <x:c r="D13" s="40" t="n">
        <x:f>'Tasks'!Q9</x:f>
        <x:v>3</x:v>
      </x:c>
      <x:c r="E13" s="40" t="n">
        <x:f>'Tasks'!F9</x:f>
        <x:v>1</x:v>
      </x:c>
      <x:c r="F13" s="40" t="n">
        <x:f>'Tasks'!K9</x:f>
        <x:v>6</x:v>
      </x:c>
      <x:c r="G13" s="40" t="n">
        <x:f>'Tasks'!L9</x:f>
        <x:v>6</x:v>
      </x:c>
      <x:c r="H13" s="40" t="n">
        <x:f>MAX(0,MIN($G13,5)-MAX($F13,1)+1)*$D13/$E13</x:f>
        <x:v>0</x:v>
      </x:c>
      <x:c r="I13" s="40" t="n">
        <x:f>MAX(0,MIN($G13,10)-MAX($F13,6)+1)*$D13/$E13</x:f>
        <x:v>3</x:v>
      </x:c>
      <x:c r="J13" s="40" t="n">
        <x:f>MAX(0,MIN($G13,15)-MAX($F13,11)+1)*$D13/$E13</x:f>
        <x:v>0</x:v>
      </x:c>
      <x:c r="K13" s="40" t="n">
        <x:f>MAX(0,MIN($G13,20)-MAX($F13,16)+1)*$D13/$E13</x:f>
        <x:v>0</x:v>
      </x:c>
      <x:c r="L13" s="40" t="n">
        <x:f>MAX(0,MIN($G13,25)-MAX($F13,21)+1)*$D13/$E13</x:f>
        <x:v>0</x:v>
      </x:c>
      <x:c r="M13" s="40" t="n">
        <x:f>MAX(0,MIN($G13,30)-MAX($F13,26)+1)*$D13/$E13</x:f>
        <x:v>0</x:v>
      </x:c>
      <x:c r="N13" s="40" t="n">
        <x:f>MAX(0,MIN($G13,35)-MAX($F13,31)+1)*$D13/$E13</x:f>
        <x:v>0</x:v>
      </x:c>
      <x:c r="O13" s="40" t="n">
        <x:f>MAX(0,MIN($G13,40)-MAX($F13,36)+1)*$D13/$E13</x:f>
        <x:v>0</x:v>
      </x:c>
      <x:c r="P13" s="40" t="n">
        <x:f>MAX(0,MIN($G13,45)-MAX($F13,41)+1)*$D13/$E13</x:f>
        <x:v>0</x:v>
      </x:c>
      <x:c r="Q13" s="40" t="n">
        <x:f>MAX(0,MIN($G13,50)-MAX($F13,46)+1)*$D13/$E13</x:f>
        <x:v>0</x:v>
      </x:c>
      <x:c r="R13" s="40" t="n">
        <x:f>MAX(0,MIN($G13,55)-MAX($F13,51)+1)*$D13/$E13</x:f>
        <x:v>0</x:v>
      </x:c>
      <x:c r="S13" s="40" t="n">
        <x:f>MAX(0,MIN($G13,60)-MAX($F13,56)+1)*$D13/$E13</x:f>
        <x:v>0</x:v>
      </x:c>
      <x:c r="T13" s="40" t="n">
        <x:f>MAX(0,MIN($G13,65)-MAX($F13,61)+1)*$D13/$E13</x:f>
        <x:v>0</x:v>
      </x:c>
      <x:c r="U13" s="40" t="n">
        <x:f>MAX(0,MIN($G13,70)-MAX($F13,66)+1)*$D13/$E13</x:f>
        <x:v>0</x:v>
      </x:c>
      <x:c r="V13" s="40" t="n">
        <x:f>MAX(0,MIN($G13,75)-MAX($F13,71)+1)*$D13/$E13</x:f>
        <x:v>0</x:v>
      </x:c>
      <x:c r="W13" s="40" t="n">
        <x:f>MAX(0,MIN($G13,80)-MAX($F13,76)+1)*$D13/$E13</x:f>
        <x:v>0</x:v>
      </x:c>
      <x:c r="X13" s="40" t="n">
        <x:f>MAX(0,MIN($G13,85)-MAX($F13,81)+1)*$D13/$E13</x:f>
        <x:v>0</x:v>
      </x:c>
      <x:c r="Y13" s="40" t="n">
        <x:f>MAX(0,MIN($G13,90)-MAX($F13,86)+1)*$D13/$E13</x:f>
        <x:v>0</x:v>
      </x:c>
      <x:c r="Z13" s="40" t="n">
        <x:f>MAX(0,MIN($G13,95)-MAX($F13,91)+1)*$D13/$E13</x:f>
        <x:v>0</x:v>
      </x:c>
      <x:c r="AA13" s="40" t="n">
        <x:f>MAX(0,MIN($G13,100)-MAX($F13,96)+1)*$D13/$E13</x:f>
        <x:v>0</x:v>
      </x:c>
      <x:c r="AB13" s="40" t="n">
        <x:f>MAX(0,MIN($G13,105)-MAX($F13,101)+1)*$D13/$E13</x:f>
        <x:v>0</x:v>
      </x:c>
      <x:c r="AC13" s="40" t="n">
        <x:f>MAX(0,MIN($G13,110)-MAX($F13,106)+1)*$D13/$E13</x:f>
        <x:v>0</x:v>
      </x:c>
      <x:c r="AD13" s="40" t="n">
        <x:f>MAX(0,MIN($G13,115)-MAX($F13,111)+1)*$D13/$E13</x:f>
        <x:v>0</x:v>
      </x:c>
      <x:c r="AE13" s="40" t="n">
        <x:f>MAX(0,MIN($G13,120)-MAX($F13,116)+1)*$D13/$E13</x:f>
        <x:v>0</x:v>
      </x:c>
      <x:c r="AF13" s="40" t="n">
        <x:f>MAX(0,MIN($G13,125)-MAX($F13,121)+1)*$D13/$E13</x:f>
        <x:v>0</x:v>
      </x:c>
      <x:c r="AG13" s="40" t="n">
        <x:f>MAX(0,MIN($G13,130)-MAX($F13,126)+1)*$D13/$E13</x:f>
        <x:v>0</x:v>
      </x:c>
      <x:c r="AH13" s="40" t="n">
        <x:f>MAX(0,MIN($G13,135)-MAX($F13,131)+1)*$D13/$E13</x:f>
        <x:v>0</x:v>
      </x:c>
      <x:c r="AI13" s="40" t="n">
        <x:f>MAX(0,MIN($G13,140)-MAX($F13,136)+1)*$D13/$E13</x:f>
        <x:v>0</x:v>
      </x:c>
      <x:c r="AJ13" s="40" t="n">
        <x:f>MAX(0,MIN($G13,145)-MAX($F13,141)+1)*$D13/$E13</x:f>
        <x:v>0</x:v>
      </x:c>
      <x:c r="AK13" s="40" t="n">
        <x:f>MAX(0,MIN($G13,150)-MAX($F13,146)+1)*$D13/$E13</x:f>
        <x:v>0</x:v>
      </x:c>
      <x:c r="AL13" s="40" t="n">
        <x:f>MAX(0,MIN($G13,155)-MAX($F13,151)+1)*$D13/$E13</x:f>
        <x:v>0</x:v>
      </x:c>
      <x:c r="AM13" s="40" t="n">
        <x:f>MAX(0,MIN($G13,160)-MAX($F13,156)+1)*$D13/$E13</x:f>
        <x:v>0</x:v>
      </x:c>
      <x:c r="AN13" s="40" t="n">
        <x:f>MAX(0,MIN($G13,165)-MAX($F13,161)+1)*$D13/$E13</x:f>
        <x:v>0</x:v>
      </x:c>
      <x:c r="AO13" s="40" t="n">
        <x:f>MAX(0,MIN($G13,170)-MAX($F13,166)+1)*$D13/$E13</x:f>
        <x:v>0</x:v>
      </x:c>
      <x:c r="AP13" s="40" t="n">
        <x:f>MAX(0,MIN($G13,175)-MAX($F13,171)+1)*$D13/$E13</x:f>
        <x:v>0</x:v>
      </x:c>
      <x:c r="AQ13" s="40" t="n">
        <x:f>MAX(0,MIN($G13,180)-MAX($F13,176)+1)*$D13/$E13</x:f>
        <x:v>0</x:v>
      </x:c>
    </x:row>
    <x:row r="14" ht="27" customHeight="1">
      <x:c r="A14" s="10" t="str">
        <x:v>B05</x:v>
      </x:c>
      <x:c r="B14" s="10" t="str">
        <x:f>'Tasks'!D10</x:f>
        <x:v>AI</x:v>
      </x:c>
      <x:c r="C14" s="10" t="str">
        <x:v>Owner</x:v>
      </x:c>
      <x:c r="D14" s="39" t="n">
        <x:f>'Tasks'!O10</x:f>
        <x:v>12</x:v>
      </x:c>
      <x:c r="E14" s="39" t="n">
        <x:f>'Tasks'!F10</x:f>
        <x:v>2</x:v>
      </x:c>
      <x:c r="F14" s="39" t="n">
        <x:f>'Tasks'!K10</x:f>
        <x:v>7</x:v>
      </x:c>
      <x:c r="G14" s="39" t="n">
        <x:f>'Tasks'!L10</x:f>
        <x:v>8</x:v>
      </x:c>
      <x:c r="H14" s="39" t="n">
        <x:f>MAX(0,MIN($G14,5)-MAX($F14,1)+1)*$D14/$E14</x:f>
        <x:v>0</x:v>
      </x:c>
      <x:c r="I14" s="39" t="n">
        <x:f>MAX(0,MIN($G14,10)-MAX($F14,6)+1)*$D14/$E14</x:f>
        <x:v>12</x:v>
      </x:c>
      <x:c r="J14" s="39" t="n">
        <x:f>MAX(0,MIN($G14,15)-MAX($F14,11)+1)*$D14/$E14</x:f>
        <x:v>0</x:v>
      </x:c>
      <x:c r="K14" s="39" t="n">
        <x:f>MAX(0,MIN($G14,20)-MAX($F14,16)+1)*$D14/$E14</x:f>
        <x:v>0</x:v>
      </x:c>
      <x:c r="L14" s="39" t="n">
        <x:f>MAX(0,MIN($G14,25)-MAX($F14,21)+1)*$D14/$E14</x:f>
        <x:v>0</x:v>
      </x:c>
      <x:c r="M14" s="39" t="n">
        <x:f>MAX(0,MIN($G14,30)-MAX($F14,26)+1)*$D14/$E14</x:f>
        <x:v>0</x:v>
      </x:c>
      <x:c r="N14" s="39" t="n">
        <x:f>MAX(0,MIN($G14,35)-MAX($F14,31)+1)*$D14/$E14</x:f>
        <x:v>0</x:v>
      </x:c>
      <x:c r="O14" s="39" t="n">
        <x:f>MAX(0,MIN($G14,40)-MAX($F14,36)+1)*$D14/$E14</x:f>
        <x:v>0</x:v>
      </x:c>
      <x:c r="P14" s="39" t="n">
        <x:f>MAX(0,MIN($G14,45)-MAX($F14,41)+1)*$D14/$E14</x:f>
        <x:v>0</x:v>
      </x:c>
      <x:c r="Q14" s="39" t="n">
        <x:f>MAX(0,MIN($G14,50)-MAX($F14,46)+1)*$D14/$E14</x:f>
        <x:v>0</x:v>
      </x:c>
      <x:c r="R14" s="39" t="n">
        <x:f>MAX(0,MIN($G14,55)-MAX($F14,51)+1)*$D14/$E14</x:f>
        <x:v>0</x:v>
      </x:c>
      <x:c r="S14" s="39" t="n">
        <x:f>MAX(0,MIN($G14,60)-MAX($F14,56)+1)*$D14/$E14</x:f>
        <x:v>0</x:v>
      </x:c>
      <x:c r="T14" s="39" t="n">
        <x:f>MAX(0,MIN($G14,65)-MAX($F14,61)+1)*$D14/$E14</x:f>
        <x:v>0</x:v>
      </x:c>
      <x:c r="U14" s="39" t="n">
        <x:f>MAX(0,MIN($G14,70)-MAX($F14,66)+1)*$D14/$E14</x:f>
        <x:v>0</x:v>
      </x:c>
      <x:c r="V14" s="39" t="n">
        <x:f>MAX(0,MIN($G14,75)-MAX($F14,71)+1)*$D14/$E14</x:f>
        <x:v>0</x:v>
      </x:c>
      <x:c r="W14" s="39" t="n">
        <x:f>MAX(0,MIN($G14,80)-MAX($F14,76)+1)*$D14/$E14</x:f>
        <x:v>0</x:v>
      </x:c>
      <x:c r="X14" s="39" t="n">
        <x:f>MAX(0,MIN($G14,85)-MAX($F14,81)+1)*$D14/$E14</x:f>
        <x:v>0</x:v>
      </x:c>
      <x:c r="Y14" s="39" t="n">
        <x:f>MAX(0,MIN($G14,90)-MAX($F14,86)+1)*$D14/$E14</x:f>
        <x:v>0</x:v>
      </x:c>
      <x:c r="Z14" s="39" t="n">
        <x:f>MAX(0,MIN($G14,95)-MAX($F14,91)+1)*$D14/$E14</x:f>
        <x:v>0</x:v>
      </x:c>
      <x:c r="AA14" s="39" t="n">
        <x:f>MAX(0,MIN($G14,100)-MAX($F14,96)+1)*$D14/$E14</x:f>
        <x:v>0</x:v>
      </x:c>
      <x:c r="AB14" s="39" t="n">
        <x:f>MAX(0,MIN($G14,105)-MAX($F14,101)+1)*$D14/$E14</x:f>
        <x:v>0</x:v>
      </x:c>
      <x:c r="AC14" s="39" t="n">
        <x:f>MAX(0,MIN($G14,110)-MAX($F14,106)+1)*$D14/$E14</x:f>
        <x:v>0</x:v>
      </x:c>
      <x:c r="AD14" s="39" t="n">
        <x:f>MAX(0,MIN($G14,115)-MAX($F14,111)+1)*$D14/$E14</x:f>
        <x:v>0</x:v>
      </x:c>
      <x:c r="AE14" s="39" t="n">
        <x:f>MAX(0,MIN($G14,120)-MAX($F14,116)+1)*$D14/$E14</x:f>
        <x:v>0</x:v>
      </x:c>
      <x:c r="AF14" s="39" t="n">
        <x:f>MAX(0,MIN($G14,125)-MAX($F14,121)+1)*$D14/$E14</x:f>
        <x:v>0</x:v>
      </x:c>
      <x:c r="AG14" s="39" t="n">
        <x:f>MAX(0,MIN($G14,130)-MAX($F14,126)+1)*$D14/$E14</x:f>
        <x:v>0</x:v>
      </x:c>
      <x:c r="AH14" s="39" t="n">
        <x:f>MAX(0,MIN($G14,135)-MAX($F14,131)+1)*$D14/$E14</x:f>
        <x:v>0</x:v>
      </x:c>
      <x:c r="AI14" s="39" t="n">
        <x:f>MAX(0,MIN($G14,140)-MAX($F14,136)+1)*$D14/$E14</x:f>
        <x:v>0</x:v>
      </x:c>
      <x:c r="AJ14" s="39" t="n">
        <x:f>MAX(0,MIN($G14,145)-MAX($F14,141)+1)*$D14/$E14</x:f>
        <x:v>0</x:v>
      </x:c>
      <x:c r="AK14" s="39" t="n">
        <x:f>MAX(0,MIN($G14,150)-MAX($F14,146)+1)*$D14/$E14</x:f>
        <x:v>0</x:v>
      </x:c>
      <x:c r="AL14" s="39" t="n">
        <x:f>MAX(0,MIN($G14,155)-MAX($F14,151)+1)*$D14/$E14</x:f>
        <x:v>0</x:v>
      </x:c>
      <x:c r="AM14" s="39" t="n">
        <x:f>MAX(0,MIN($G14,160)-MAX($F14,156)+1)*$D14/$E14</x:f>
        <x:v>0</x:v>
      </x:c>
      <x:c r="AN14" s="39" t="n">
        <x:f>MAX(0,MIN($G14,165)-MAX($F14,161)+1)*$D14/$E14</x:f>
        <x:v>0</x:v>
      </x:c>
      <x:c r="AO14" s="39" t="n">
        <x:f>MAX(0,MIN($G14,170)-MAX($F14,166)+1)*$D14/$E14</x:f>
        <x:v>0</x:v>
      </x:c>
      <x:c r="AP14" s="39" t="n">
        <x:f>MAX(0,MIN($G14,175)-MAX($F14,171)+1)*$D14/$E14</x:f>
        <x:v>0</x:v>
      </x:c>
      <x:c r="AQ14" s="39" t="n">
        <x:f>MAX(0,MIN($G14,180)-MAX($F14,176)+1)*$D14/$E14</x:f>
        <x:v>0</x:v>
      </x:c>
    </x:row>
    <x:row r="15" ht="27" customHeight="1">
      <x:c r="A15" s="9" t="str">
        <x:v>B05</x:v>
      </x:c>
      <x:c r="B15" s="9" t="str">
        <x:f>'Tasks'!P10</x:f>
        <x:v>HP</x:v>
      </x:c>
      <x:c r="C15" s="9" t="str">
        <x:v>Review</x:v>
      </x:c>
      <x:c r="D15" s="40" t="n">
        <x:f>'Tasks'!Q10</x:f>
        <x:v>4</x:v>
      </x:c>
      <x:c r="E15" s="40" t="n">
        <x:f>'Tasks'!F10</x:f>
        <x:v>2</x:v>
      </x:c>
      <x:c r="F15" s="40" t="n">
        <x:f>'Tasks'!K10</x:f>
        <x:v>7</x:v>
      </x:c>
      <x:c r="G15" s="40" t="n">
        <x:f>'Tasks'!L10</x:f>
        <x:v>8</x:v>
      </x:c>
      <x:c r="H15" s="40" t="n">
        <x:f>MAX(0,MIN($G15,5)-MAX($F15,1)+1)*$D15/$E15</x:f>
        <x:v>0</x:v>
      </x:c>
      <x:c r="I15" s="40" t="n">
        <x:f>MAX(0,MIN($G15,10)-MAX($F15,6)+1)*$D15/$E15</x:f>
        <x:v>4</x:v>
      </x:c>
      <x:c r="J15" s="40" t="n">
        <x:f>MAX(0,MIN($G15,15)-MAX($F15,11)+1)*$D15/$E15</x:f>
        <x:v>0</x:v>
      </x:c>
      <x:c r="K15" s="40" t="n">
        <x:f>MAX(0,MIN($G15,20)-MAX($F15,16)+1)*$D15/$E15</x:f>
        <x:v>0</x:v>
      </x:c>
      <x:c r="L15" s="40" t="n">
        <x:f>MAX(0,MIN($G15,25)-MAX($F15,21)+1)*$D15/$E15</x:f>
        <x:v>0</x:v>
      </x:c>
      <x:c r="M15" s="40" t="n">
        <x:f>MAX(0,MIN($G15,30)-MAX($F15,26)+1)*$D15/$E15</x:f>
        <x:v>0</x:v>
      </x:c>
      <x:c r="N15" s="40" t="n">
        <x:f>MAX(0,MIN($G15,35)-MAX($F15,31)+1)*$D15/$E15</x:f>
        <x:v>0</x:v>
      </x:c>
      <x:c r="O15" s="40" t="n">
        <x:f>MAX(0,MIN($G15,40)-MAX($F15,36)+1)*$D15/$E15</x:f>
        <x:v>0</x:v>
      </x:c>
      <x:c r="P15" s="40" t="n">
        <x:f>MAX(0,MIN($G15,45)-MAX($F15,41)+1)*$D15/$E15</x:f>
        <x:v>0</x:v>
      </x:c>
      <x:c r="Q15" s="40" t="n">
        <x:f>MAX(0,MIN($G15,50)-MAX($F15,46)+1)*$D15/$E15</x:f>
        <x:v>0</x:v>
      </x:c>
      <x:c r="R15" s="40" t="n">
        <x:f>MAX(0,MIN($G15,55)-MAX($F15,51)+1)*$D15/$E15</x:f>
        <x:v>0</x:v>
      </x:c>
      <x:c r="S15" s="40" t="n">
        <x:f>MAX(0,MIN($G15,60)-MAX($F15,56)+1)*$D15/$E15</x:f>
        <x:v>0</x:v>
      </x:c>
      <x:c r="T15" s="40" t="n">
        <x:f>MAX(0,MIN($G15,65)-MAX($F15,61)+1)*$D15/$E15</x:f>
        <x:v>0</x:v>
      </x:c>
      <x:c r="U15" s="40" t="n">
        <x:f>MAX(0,MIN($G15,70)-MAX($F15,66)+1)*$D15/$E15</x:f>
        <x:v>0</x:v>
      </x:c>
      <x:c r="V15" s="40" t="n">
        <x:f>MAX(0,MIN($G15,75)-MAX($F15,71)+1)*$D15/$E15</x:f>
        <x:v>0</x:v>
      </x:c>
      <x:c r="W15" s="40" t="n">
        <x:f>MAX(0,MIN($G15,80)-MAX($F15,76)+1)*$D15/$E15</x:f>
        <x:v>0</x:v>
      </x:c>
      <x:c r="X15" s="40" t="n">
        <x:f>MAX(0,MIN($G15,85)-MAX($F15,81)+1)*$D15/$E15</x:f>
        <x:v>0</x:v>
      </x:c>
      <x:c r="Y15" s="40" t="n">
        <x:f>MAX(0,MIN($G15,90)-MAX($F15,86)+1)*$D15/$E15</x:f>
        <x:v>0</x:v>
      </x:c>
      <x:c r="Z15" s="40" t="n">
        <x:f>MAX(0,MIN($G15,95)-MAX($F15,91)+1)*$D15/$E15</x:f>
        <x:v>0</x:v>
      </x:c>
      <x:c r="AA15" s="40" t="n">
        <x:f>MAX(0,MIN($G15,100)-MAX($F15,96)+1)*$D15/$E15</x:f>
        <x:v>0</x:v>
      </x:c>
      <x:c r="AB15" s="40" t="n">
        <x:f>MAX(0,MIN($G15,105)-MAX($F15,101)+1)*$D15/$E15</x:f>
        <x:v>0</x:v>
      </x:c>
      <x:c r="AC15" s="40" t="n">
        <x:f>MAX(0,MIN($G15,110)-MAX($F15,106)+1)*$D15/$E15</x:f>
        <x:v>0</x:v>
      </x:c>
      <x:c r="AD15" s="40" t="n">
        <x:f>MAX(0,MIN($G15,115)-MAX($F15,111)+1)*$D15/$E15</x:f>
        <x:v>0</x:v>
      </x:c>
      <x:c r="AE15" s="40" t="n">
        <x:f>MAX(0,MIN($G15,120)-MAX($F15,116)+1)*$D15/$E15</x:f>
        <x:v>0</x:v>
      </x:c>
      <x:c r="AF15" s="40" t="n">
        <x:f>MAX(0,MIN($G15,125)-MAX($F15,121)+1)*$D15/$E15</x:f>
        <x:v>0</x:v>
      </x:c>
      <x:c r="AG15" s="40" t="n">
        <x:f>MAX(0,MIN($G15,130)-MAX($F15,126)+1)*$D15/$E15</x:f>
        <x:v>0</x:v>
      </x:c>
      <x:c r="AH15" s="40" t="n">
        <x:f>MAX(0,MIN($G15,135)-MAX($F15,131)+1)*$D15/$E15</x:f>
        <x:v>0</x:v>
      </x:c>
      <x:c r="AI15" s="40" t="n">
        <x:f>MAX(0,MIN($G15,140)-MAX($F15,136)+1)*$D15/$E15</x:f>
        <x:v>0</x:v>
      </x:c>
      <x:c r="AJ15" s="40" t="n">
        <x:f>MAX(0,MIN($G15,145)-MAX($F15,141)+1)*$D15/$E15</x:f>
        <x:v>0</x:v>
      </x:c>
      <x:c r="AK15" s="40" t="n">
        <x:f>MAX(0,MIN($G15,150)-MAX($F15,146)+1)*$D15/$E15</x:f>
        <x:v>0</x:v>
      </x:c>
      <x:c r="AL15" s="40" t="n">
        <x:f>MAX(0,MIN($G15,155)-MAX($F15,151)+1)*$D15/$E15</x:f>
        <x:v>0</x:v>
      </x:c>
      <x:c r="AM15" s="40" t="n">
        <x:f>MAX(0,MIN($G15,160)-MAX($F15,156)+1)*$D15/$E15</x:f>
        <x:v>0</x:v>
      </x:c>
      <x:c r="AN15" s="40" t="n">
        <x:f>MAX(0,MIN($G15,165)-MAX($F15,161)+1)*$D15/$E15</x:f>
        <x:v>0</x:v>
      </x:c>
      <x:c r="AO15" s="40" t="n">
        <x:f>MAX(0,MIN($G15,170)-MAX($F15,166)+1)*$D15/$E15</x:f>
        <x:v>0</x:v>
      </x:c>
      <x:c r="AP15" s="40" t="n">
        <x:f>MAX(0,MIN($G15,175)-MAX($F15,171)+1)*$D15/$E15</x:f>
        <x:v>0</x:v>
      </x:c>
      <x:c r="AQ15" s="40" t="n">
        <x:f>MAX(0,MIN($G15,180)-MAX($F15,176)+1)*$D15/$E15</x:f>
        <x:v>0</x:v>
      </x:c>
    </x:row>
    <x:row r="16" ht="27" customHeight="1">
      <x:c r="A16" s="10" t="str">
        <x:v>B06</x:v>
      </x:c>
      <x:c r="B16" s="10" t="str">
        <x:f>'Tasks'!D11</x:f>
        <x:v>AI</x:v>
      </x:c>
      <x:c r="C16" s="10" t="str">
        <x:v>Owner</x:v>
      </x:c>
      <x:c r="D16" s="39" t="n">
        <x:f>'Tasks'!O11</x:f>
        <x:v>20</x:v>
      </x:c>
      <x:c r="E16" s="39" t="n">
        <x:f>'Tasks'!F11</x:f>
        <x:v>3</x:v>
      </x:c>
      <x:c r="F16" s="39" t="n">
        <x:f>'Tasks'!K11</x:f>
        <x:v>9</x:v>
      </x:c>
      <x:c r="G16" s="39" t="n">
        <x:f>'Tasks'!L11</x:f>
        <x:v>11</x:v>
      </x:c>
      <x:c r="H16" s="39" t="n">
        <x:f>MAX(0,MIN($G16,5)-MAX($F16,1)+1)*$D16/$E16</x:f>
        <x:v>0</x:v>
      </x:c>
      <x:c r="I16" s="39" t="n">
        <x:f>MAX(0,MIN($G16,10)-MAX($F16,6)+1)*$D16/$E16</x:f>
        <x:v>13.333333333333334</x:v>
      </x:c>
      <x:c r="J16" s="39" t="n">
        <x:f>MAX(0,MIN($G16,15)-MAX($F16,11)+1)*$D16/$E16</x:f>
        <x:v>6.666666666666667</x:v>
      </x:c>
      <x:c r="K16" s="39" t="n">
        <x:f>MAX(0,MIN($G16,20)-MAX($F16,16)+1)*$D16/$E16</x:f>
        <x:v>0</x:v>
      </x:c>
      <x:c r="L16" s="39" t="n">
        <x:f>MAX(0,MIN($G16,25)-MAX($F16,21)+1)*$D16/$E16</x:f>
        <x:v>0</x:v>
      </x:c>
      <x:c r="M16" s="39" t="n">
        <x:f>MAX(0,MIN($G16,30)-MAX($F16,26)+1)*$D16/$E16</x:f>
        <x:v>0</x:v>
      </x:c>
      <x:c r="N16" s="39" t="n">
        <x:f>MAX(0,MIN($G16,35)-MAX($F16,31)+1)*$D16/$E16</x:f>
        <x:v>0</x:v>
      </x:c>
      <x:c r="O16" s="39" t="n">
        <x:f>MAX(0,MIN($G16,40)-MAX($F16,36)+1)*$D16/$E16</x:f>
        <x:v>0</x:v>
      </x:c>
      <x:c r="P16" s="39" t="n">
        <x:f>MAX(0,MIN($G16,45)-MAX($F16,41)+1)*$D16/$E16</x:f>
        <x:v>0</x:v>
      </x:c>
      <x:c r="Q16" s="39" t="n">
        <x:f>MAX(0,MIN($G16,50)-MAX($F16,46)+1)*$D16/$E16</x:f>
        <x:v>0</x:v>
      </x:c>
      <x:c r="R16" s="39" t="n">
        <x:f>MAX(0,MIN($G16,55)-MAX($F16,51)+1)*$D16/$E16</x:f>
        <x:v>0</x:v>
      </x:c>
      <x:c r="S16" s="39" t="n">
        <x:f>MAX(0,MIN($G16,60)-MAX($F16,56)+1)*$D16/$E16</x:f>
        <x:v>0</x:v>
      </x:c>
      <x:c r="T16" s="39" t="n">
        <x:f>MAX(0,MIN($G16,65)-MAX($F16,61)+1)*$D16/$E16</x:f>
        <x:v>0</x:v>
      </x:c>
      <x:c r="U16" s="39" t="n">
        <x:f>MAX(0,MIN($G16,70)-MAX($F16,66)+1)*$D16/$E16</x:f>
        <x:v>0</x:v>
      </x:c>
      <x:c r="V16" s="39" t="n">
        <x:f>MAX(0,MIN($G16,75)-MAX($F16,71)+1)*$D16/$E16</x:f>
        <x:v>0</x:v>
      </x:c>
      <x:c r="W16" s="39" t="n">
        <x:f>MAX(0,MIN($G16,80)-MAX($F16,76)+1)*$D16/$E16</x:f>
        <x:v>0</x:v>
      </x:c>
      <x:c r="X16" s="39" t="n">
        <x:f>MAX(0,MIN($G16,85)-MAX($F16,81)+1)*$D16/$E16</x:f>
        <x:v>0</x:v>
      </x:c>
      <x:c r="Y16" s="39" t="n">
        <x:f>MAX(0,MIN($G16,90)-MAX($F16,86)+1)*$D16/$E16</x:f>
        <x:v>0</x:v>
      </x:c>
      <x:c r="Z16" s="39" t="n">
        <x:f>MAX(0,MIN($G16,95)-MAX($F16,91)+1)*$D16/$E16</x:f>
        <x:v>0</x:v>
      </x:c>
      <x:c r="AA16" s="39" t="n">
        <x:f>MAX(0,MIN($G16,100)-MAX($F16,96)+1)*$D16/$E16</x:f>
        <x:v>0</x:v>
      </x:c>
      <x:c r="AB16" s="39" t="n">
        <x:f>MAX(0,MIN($G16,105)-MAX($F16,101)+1)*$D16/$E16</x:f>
        <x:v>0</x:v>
      </x:c>
      <x:c r="AC16" s="39" t="n">
        <x:f>MAX(0,MIN($G16,110)-MAX($F16,106)+1)*$D16/$E16</x:f>
        <x:v>0</x:v>
      </x:c>
      <x:c r="AD16" s="39" t="n">
        <x:f>MAX(0,MIN($G16,115)-MAX($F16,111)+1)*$D16/$E16</x:f>
        <x:v>0</x:v>
      </x:c>
      <x:c r="AE16" s="39" t="n">
        <x:f>MAX(0,MIN($G16,120)-MAX($F16,116)+1)*$D16/$E16</x:f>
        <x:v>0</x:v>
      </x:c>
      <x:c r="AF16" s="39" t="n">
        <x:f>MAX(0,MIN($G16,125)-MAX($F16,121)+1)*$D16/$E16</x:f>
        <x:v>0</x:v>
      </x:c>
      <x:c r="AG16" s="39" t="n">
        <x:f>MAX(0,MIN($G16,130)-MAX($F16,126)+1)*$D16/$E16</x:f>
        <x:v>0</x:v>
      </x:c>
      <x:c r="AH16" s="39" t="n">
        <x:f>MAX(0,MIN($G16,135)-MAX($F16,131)+1)*$D16/$E16</x:f>
        <x:v>0</x:v>
      </x:c>
      <x:c r="AI16" s="39" t="n">
        <x:f>MAX(0,MIN($G16,140)-MAX($F16,136)+1)*$D16/$E16</x:f>
        <x:v>0</x:v>
      </x:c>
      <x:c r="AJ16" s="39" t="n">
        <x:f>MAX(0,MIN($G16,145)-MAX($F16,141)+1)*$D16/$E16</x:f>
        <x:v>0</x:v>
      </x:c>
      <x:c r="AK16" s="39" t="n">
        <x:f>MAX(0,MIN($G16,150)-MAX($F16,146)+1)*$D16/$E16</x:f>
        <x:v>0</x:v>
      </x:c>
      <x:c r="AL16" s="39" t="n">
        <x:f>MAX(0,MIN($G16,155)-MAX($F16,151)+1)*$D16/$E16</x:f>
        <x:v>0</x:v>
      </x:c>
      <x:c r="AM16" s="39" t="n">
        <x:f>MAX(0,MIN($G16,160)-MAX($F16,156)+1)*$D16/$E16</x:f>
        <x:v>0</x:v>
      </x:c>
      <x:c r="AN16" s="39" t="n">
        <x:f>MAX(0,MIN($G16,165)-MAX($F16,161)+1)*$D16/$E16</x:f>
        <x:v>0</x:v>
      </x:c>
      <x:c r="AO16" s="39" t="n">
        <x:f>MAX(0,MIN($G16,170)-MAX($F16,166)+1)*$D16/$E16</x:f>
        <x:v>0</x:v>
      </x:c>
      <x:c r="AP16" s="39" t="n">
        <x:f>MAX(0,MIN($G16,175)-MAX($F16,171)+1)*$D16/$E16</x:f>
        <x:v>0</x:v>
      </x:c>
      <x:c r="AQ16" s="39" t="n">
        <x:f>MAX(0,MIN($G16,180)-MAX($F16,176)+1)*$D16/$E16</x:f>
        <x:v>0</x:v>
      </x:c>
    </x:row>
    <x:row r="17" ht="27" customHeight="1">
      <x:c r="A17" s="9" t="str">
        <x:v>B06</x:v>
      </x:c>
      <x:c r="B17" s="9" t="str">
        <x:f>'Tasks'!P11</x:f>
        <x:v>OPS</x:v>
      </x:c>
      <x:c r="C17" s="9" t="str">
        <x:v>Review</x:v>
      </x:c>
      <x:c r="D17" s="40" t="n">
        <x:f>'Tasks'!Q11</x:f>
        <x:v>6</x:v>
      </x:c>
      <x:c r="E17" s="40" t="n">
        <x:f>'Tasks'!F11</x:f>
        <x:v>3</x:v>
      </x:c>
      <x:c r="F17" s="40" t="n">
        <x:f>'Tasks'!K11</x:f>
        <x:v>9</x:v>
      </x:c>
      <x:c r="G17" s="40" t="n">
        <x:f>'Tasks'!L11</x:f>
        <x:v>11</x:v>
      </x:c>
      <x:c r="H17" s="40" t="n">
        <x:f>MAX(0,MIN($G17,5)-MAX($F17,1)+1)*$D17/$E17</x:f>
        <x:v>0</x:v>
      </x:c>
      <x:c r="I17" s="40" t="n">
        <x:f>MAX(0,MIN($G17,10)-MAX($F17,6)+1)*$D17/$E17</x:f>
        <x:v>4</x:v>
      </x:c>
      <x:c r="J17" s="40" t="n">
        <x:f>MAX(0,MIN($G17,15)-MAX($F17,11)+1)*$D17/$E17</x:f>
        <x:v>2</x:v>
      </x:c>
      <x:c r="K17" s="40" t="n">
        <x:f>MAX(0,MIN($G17,20)-MAX($F17,16)+1)*$D17/$E17</x:f>
        <x:v>0</x:v>
      </x:c>
      <x:c r="L17" s="40" t="n">
        <x:f>MAX(0,MIN($G17,25)-MAX($F17,21)+1)*$D17/$E17</x:f>
        <x:v>0</x:v>
      </x:c>
      <x:c r="M17" s="40" t="n">
        <x:f>MAX(0,MIN($G17,30)-MAX($F17,26)+1)*$D17/$E17</x:f>
        <x:v>0</x:v>
      </x:c>
      <x:c r="N17" s="40" t="n">
        <x:f>MAX(0,MIN($G17,35)-MAX($F17,31)+1)*$D17/$E17</x:f>
        <x:v>0</x:v>
      </x:c>
      <x:c r="O17" s="40" t="n">
        <x:f>MAX(0,MIN($G17,40)-MAX($F17,36)+1)*$D17/$E17</x:f>
        <x:v>0</x:v>
      </x:c>
      <x:c r="P17" s="40" t="n">
        <x:f>MAX(0,MIN($G17,45)-MAX($F17,41)+1)*$D17/$E17</x:f>
        <x:v>0</x:v>
      </x:c>
      <x:c r="Q17" s="40" t="n">
        <x:f>MAX(0,MIN($G17,50)-MAX($F17,46)+1)*$D17/$E17</x:f>
        <x:v>0</x:v>
      </x:c>
      <x:c r="R17" s="40" t="n">
        <x:f>MAX(0,MIN($G17,55)-MAX($F17,51)+1)*$D17/$E17</x:f>
        <x:v>0</x:v>
      </x:c>
      <x:c r="S17" s="40" t="n">
        <x:f>MAX(0,MIN($G17,60)-MAX($F17,56)+1)*$D17/$E17</x:f>
        <x:v>0</x:v>
      </x:c>
      <x:c r="T17" s="40" t="n">
        <x:f>MAX(0,MIN($G17,65)-MAX($F17,61)+1)*$D17/$E17</x:f>
        <x:v>0</x:v>
      </x:c>
      <x:c r="U17" s="40" t="n">
        <x:f>MAX(0,MIN($G17,70)-MAX($F17,66)+1)*$D17/$E17</x:f>
        <x:v>0</x:v>
      </x:c>
      <x:c r="V17" s="40" t="n">
        <x:f>MAX(0,MIN($G17,75)-MAX($F17,71)+1)*$D17/$E17</x:f>
        <x:v>0</x:v>
      </x:c>
      <x:c r="W17" s="40" t="n">
        <x:f>MAX(0,MIN($G17,80)-MAX($F17,76)+1)*$D17/$E17</x:f>
        <x:v>0</x:v>
      </x:c>
      <x:c r="X17" s="40" t="n">
        <x:f>MAX(0,MIN($G17,85)-MAX($F17,81)+1)*$D17/$E17</x:f>
        <x:v>0</x:v>
      </x:c>
      <x:c r="Y17" s="40" t="n">
        <x:f>MAX(0,MIN($G17,90)-MAX($F17,86)+1)*$D17/$E17</x:f>
        <x:v>0</x:v>
      </x:c>
      <x:c r="Z17" s="40" t="n">
        <x:f>MAX(0,MIN($G17,95)-MAX($F17,91)+1)*$D17/$E17</x:f>
        <x:v>0</x:v>
      </x:c>
      <x:c r="AA17" s="40" t="n">
        <x:f>MAX(0,MIN($G17,100)-MAX($F17,96)+1)*$D17/$E17</x:f>
        <x:v>0</x:v>
      </x:c>
      <x:c r="AB17" s="40" t="n">
        <x:f>MAX(0,MIN($G17,105)-MAX($F17,101)+1)*$D17/$E17</x:f>
        <x:v>0</x:v>
      </x:c>
      <x:c r="AC17" s="40" t="n">
        <x:f>MAX(0,MIN($G17,110)-MAX($F17,106)+1)*$D17/$E17</x:f>
        <x:v>0</x:v>
      </x:c>
      <x:c r="AD17" s="40" t="n">
        <x:f>MAX(0,MIN($G17,115)-MAX($F17,111)+1)*$D17/$E17</x:f>
        <x:v>0</x:v>
      </x:c>
      <x:c r="AE17" s="40" t="n">
        <x:f>MAX(0,MIN($G17,120)-MAX($F17,116)+1)*$D17/$E17</x:f>
        <x:v>0</x:v>
      </x:c>
      <x:c r="AF17" s="40" t="n">
        <x:f>MAX(0,MIN($G17,125)-MAX($F17,121)+1)*$D17/$E17</x:f>
        <x:v>0</x:v>
      </x:c>
      <x:c r="AG17" s="40" t="n">
        <x:f>MAX(0,MIN($G17,130)-MAX($F17,126)+1)*$D17/$E17</x:f>
        <x:v>0</x:v>
      </x:c>
      <x:c r="AH17" s="40" t="n">
        <x:f>MAX(0,MIN($G17,135)-MAX($F17,131)+1)*$D17/$E17</x:f>
        <x:v>0</x:v>
      </x:c>
      <x:c r="AI17" s="40" t="n">
        <x:f>MAX(0,MIN($G17,140)-MAX($F17,136)+1)*$D17/$E17</x:f>
        <x:v>0</x:v>
      </x:c>
      <x:c r="AJ17" s="40" t="n">
        <x:f>MAX(0,MIN($G17,145)-MAX($F17,141)+1)*$D17/$E17</x:f>
        <x:v>0</x:v>
      </x:c>
      <x:c r="AK17" s="40" t="n">
        <x:f>MAX(0,MIN($G17,150)-MAX($F17,146)+1)*$D17/$E17</x:f>
        <x:v>0</x:v>
      </x:c>
      <x:c r="AL17" s="40" t="n">
        <x:f>MAX(0,MIN($G17,155)-MAX($F17,151)+1)*$D17/$E17</x:f>
        <x:v>0</x:v>
      </x:c>
      <x:c r="AM17" s="40" t="n">
        <x:f>MAX(0,MIN($G17,160)-MAX($F17,156)+1)*$D17/$E17</x:f>
        <x:v>0</x:v>
      </x:c>
      <x:c r="AN17" s="40" t="n">
        <x:f>MAX(0,MIN($G17,165)-MAX($F17,161)+1)*$D17/$E17</x:f>
        <x:v>0</x:v>
      </x:c>
      <x:c r="AO17" s="40" t="n">
        <x:f>MAX(0,MIN($G17,170)-MAX($F17,166)+1)*$D17/$E17</x:f>
        <x:v>0</x:v>
      </x:c>
      <x:c r="AP17" s="40" t="n">
        <x:f>MAX(0,MIN($G17,175)-MAX($F17,171)+1)*$D17/$E17</x:f>
        <x:v>0</x:v>
      </x:c>
      <x:c r="AQ17" s="40" t="n">
        <x:f>MAX(0,MIN($G17,180)-MAX($F17,176)+1)*$D17/$E17</x:f>
        <x:v>0</x:v>
      </x:c>
    </x:row>
    <x:row r="18" ht="27" customHeight="1">
      <x:c r="A18" s="10" t="str">
        <x:v>B07</x:v>
      </x:c>
      <x:c r="B18" s="10" t="str">
        <x:f>'Tasks'!D12</x:f>
        <x:v>AI</x:v>
      </x:c>
      <x:c r="C18" s="10" t="str">
        <x:v>Owner</x:v>
      </x:c>
      <x:c r="D18" s="39" t="n">
        <x:f>'Tasks'!O12</x:f>
        <x:v>18</x:v>
      </x:c>
      <x:c r="E18" s="39" t="n">
        <x:f>'Tasks'!F12</x:f>
        <x:v>3</x:v>
      </x:c>
      <x:c r="F18" s="39" t="n">
        <x:f>'Tasks'!K12</x:f>
        <x:v>12</x:v>
      </x:c>
      <x:c r="G18" s="39" t="n">
        <x:f>'Tasks'!L12</x:f>
        <x:v>14</x:v>
      </x:c>
      <x:c r="H18" s="39" t="n">
        <x:f>MAX(0,MIN($G18,5)-MAX($F18,1)+1)*$D18/$E18</x:f>
        <x:v>0</x:v>
      </x:c>
      <x:c r="I18" s="39" t="n">
        <x:f>MAX(0,MIN($G18,10)-MAX($F18,6)+1)*$D18/$E18</x:f>
        <x:v>0</x:v>
      </x:c>
      <x:c r="J18" s="39" t="n">
        <x:f>MAX(0,MIN($G18,15)-MAX($F18,11)+1)*$D18/$E18</x:f>
        <x:v>18</x:v>
      </x:c>
      <x:c r="K18" s="39" t="n">
        <x:f>MAX(0,MIN($G18,20)-MAX($F18,16)+1)*$D18/$E18</x:f>
        <x:v>0</x:v>
      </x:c>
      <x:c r="L18" s="39" t="n">
        <x:f>MAX(0,MIN($G18,25)-MAX($F18,21)+1)*$D18/$E18</x:f>
        <x:v>0</x:v>
      </x:c>
      <x:c r="M18" s="39" t="n">
        <x:f>MAX(0,MIN($G18,30)-MAX($F18,26)+1)*$D18/$E18</x:f>
        <x:v>0</x:v>
      </x:c>
      <x:c r="N18" s="39" t="n">
        <x:f>MAX(0,MIN($G18,35)-MAX($F18,31)+1)*$D18/$E18</x:f>
        <x:v>0</x:v>
      </x:c>
      <x:c r="O18" s="39" t="n">
        <x:f>MAX(0,MIN($G18,40)-MAX($F18,36)+1)*$D18/$E18</x:f>
        <x:v>0</x:v>
      </x:c>
      <x:c r="P18" s="39" t="n">
        <x:f>MAX(0,MIN($G18,45)-MAX($F18,41)+1)*$D18/$E18</x:f>
        <x:v>0</x:v>
      </x:c>
      <x:c r="Q18" s="39" t="n">
        <x:f>MAX(0,MIN($G18,50)-MAX($F18,46)+1)*$D18/$E18</x:f>
        <x:v>0</x:v>
      </x:c>
      <x:c r="R18" s="39" t="n">
        <x:f>MAX(0,MIN($G18,55)-MAX($F18,51)+1)*$D18/$E18</x:f>
        <x:v>0</x:v>
      </x:c>
      <x:c r="S18" s="39" t="n">
        <x:f>MAX(0,MIN($G18,60)-MAX($F18,56)+1)*$D18/$E18</x:f>
        <x:v>0</x:v>
      </x:c>
      <x:c r="T18" s="39" t="n">
        <x:f>MAX(0,MIN($G18,65)-MAX($F18,61)+1)*$D18/$E18</x:f>
        <x:v>0</x:v>
      </x:c>
      <x:c r="U18" s="39" t="n">
        <x:f>MAX(0,MIN($G18,70)-MAX($F18,66)+1)*$D18/$E18</x:f>
        <x:v>0</x:v>
      </x:c>
      <x:c r="V18" s="39" t="n">
        <x:f>MAX(0,MIN($G18,75)-MAX($F18,71)+1)*$D18/$E18</x:f>
        <x:v>0</x:v>
      </x:c>
      <x:c r="W18" s="39" t="n">
        <x:f>MAX(0,MIN($G18,80)-MAX($F18,76)+1)*$D18/$E18</x:f>
        <x:v>0</x:v>
      </x:c>
      <x:c r="X18" s="39" t="n">
        <x:f>MAX(0,MIN($G18,85)-MAX($F18,81)+1)*$D18/$E18</x:f>
        <x:v>0</x:v>
      </x:c>
      <x:c r="Y18" s="39" t="n">
        <x:f>MAX(0,MIN($G18,90)-MAX($F18,86)+1)*$D18/$E18</x:f>
        <x:v>0</x:v>
      </x:c>
      <x:c r="Z18" s="39" t="n">
        <x:f>MAX(0,MIN($G18,95)-MAX($F18,91)+1)*$D18/$E18</x:f>
        <x:v>0</x:v>
      </x:c>
      <x:c r="AA18" s="39" t="n">
        <x:f>MAX(0,MIN($G18,100)-MAX($F18,96)+1)*$D18/$E18</x:f>
        <x:v>0</x:v>
      </x:c>
      <x:c r="AB18" s="39" t="n">
        <x:f>MAX(0,MIN($G18,105)-MAX($F18,101)+1)*$D18/$E18</x:f>
        <x:v>0</x:v>
      </x:c>
      <x:c r="AC18" s="39" t="n">
        <x:f>MAX(0,MIN($G18,110)-MAX($F18,106)+1)*$D18/$E18</x:f>
        <x:v>0</x:v>
      </x:c>
      <x:c r="AD18" s="39" t="n">
        <x:f>MAX(0,MIN($G18,115)-MAX($F18,111)+1)*$D18/$E18</x:f>
        <x:v>0</x:v>
      </x:c>
      <x:c r="AE18" s="39" t="n">
        <x:f>MAX(0,MIN($G18,120)-MAX($F18,116)+1)*$D18/$E18</x:f>
        <x:v>0</x:v>
      </x:c>
      <x:c r="AF18" s="39" t="n">
        <x:f>MAX(0,MIN($G18,125)-MAX($F18,121)+1)*$D18/$E18</x:f>
        <x:v>0</x:v>
      </x:c>
      <x:c r="AG18" s="39" t="n">
        <x:f>MAX(0,MIN($G18,130)-MAX($F18,126)+1)*$D18/$E18</x:f>
        <x:v>0</x:v>
      </x:c>
      <x:c r="AH18" s="39" t="n">
        <x:f>MAX(0,MIN($G18,135)-MAX($F18,131)+1)*$D18/$E18</x:f>
        <x:v>0</x:v>
      </x:c>
      <x:c r="AI18" s="39" t="n">
        <x:f>MAX(0,MIN($G18,140)-MAX($F18,136)+1)*$D18/$E18</x:f>
        <x:v>0</x:v>
      </x:c>
      <x:c r="AJ18" s="39" t="n">
        <x:f>MAX(0,MIN($G18,145)-MAX($F18,141)+1)*$D18/$E18</x:f>
        <x:v>0</x:v>
      </x:c>
      <x:c r="AK18" s="39" t="n">
        <x:f>MAX(0,MIN($G18,150)-MAX($F18,146)+1)*$D18/$E18</x:f>
        <x:v>0</x:v>
      </x:c>
      <x:c r="AL18" s="39" t="n">
        <x:f>MAX(0,MIN($G18,155)-MAX($F18,151)+1)*$D18/$E18</x:f>
        <x:v>0</x:v>
      </x:c>
      <x:c r="AM18" s="39" t="n">
        <x:f>MAX(0,MIN($G18,160)-MAX($F18,156)+1)*$D18/$E18</x:f>
        <x:v>0</x:v>
      </x:c>
      <x:c r="AN18" s="39" t="n">
        <x:f>MAX(0,MIN($G18,165)-MAX($F18,161)+1)*$D18/$E18</x:f>
        <x:v>0</x:v>
      </x:c>
      <x:c r="AO18" s="39" t="n">
        <x:f>MAX(0,MIN($G18,170)-MAX($F18,166)+1)*$D18/$E18</x:f>
        <x:v>0</x:v>
      </x:c>
      <x:c r="AP18" s="39" t="n">
        <x:f>MAX(0,MIN($G18,175)-MAX($F18,171)+1)*$D18/$E18</x:f>
        <x:v>0</x:v>
      </x:c>
      <x:c r="AQ18" s="39" t="n">
        <x:f>MAX(0,MIN($G18,180)-MAX($F18,176)+1)*$D18/$E18</x:f>
        <x:v>0</x:v>
      </x:c>
    </x:row>
    <x:row r="19" ht="27" customHeight="1">
      <x:c r="A19" s="9" t="str">
        <x:v>B07</x:v>
      </x:c>
      <x:c r="B19" s="9" t="str">
        <x:f>'Tasks'!P12</x:f>
        <x:v>HP</x:v>
      </x:c>
      <x:c r="C19" s="9" t="str">
        <x:v>Review</x:v>
      </x:c>
      <x:c r="D19" s="40" t="n">
        <x:f>'Tasks'!Q12</x:f>
        <x:v>4</x:v>
      </x:c>
      <x:c r="E19" s="40" t="n">
        <x:f>'Tasks'!F12</x:f>
        <x:v>3</x:v>
      </x:c>
      <x:c r="F19" s="40" t="n">
        <x:f>'Tasks'!K12</x:f>
        <x:v>12</x:v>
      </x:c>
      <x:c r="G19" s="40" t="n">
        <x:f>'Tasks'!L12</x:f>
        <x:v>14</x:v>
      </x:c>
      <x:c r="H19" s="40" t="n">
        <x:f>MAX(0,MIN($G19,5)-MAX($F19,1)+1)*$D19/$E19</x:f>
        <x:v>0</x:v>
      </x:c>
      <x:c r="I19" s="40" t="n">
        <x:f>MAX(0,MIN($G19,10)-MAX($F19,6)+1)*$D19/$E19</x:f>
        <x:v>0</x:v>
      </x:c>
      <x:c r="J19" s="40" t="n">
        <x:f>MAX(0,MIN($G19,15)-MAX($F19,11)+1)*$D19/$E19</x:f>
        <x:v>4</x:v>
      </x:c>
      <x:c r="K19" s="40" t="n">
        <x:f>MAX(0,MIN($G19,20)-MAX($F19,16)+1)*$D19/$E19</x:f>
        <x:v>0</x:v>
      </x:c>
      <x:c r="L19" s="40" t="n">
        <x:f>MAX(0,MIN($G19,25)-MAX($F19,21)+1)*$D19/$E19</x:f>
        <x:v>0</x:v>
      </x:c>
      <x:c r="M19" s="40" t="n">
        <x:f>MAX(0,MIN($G19,30)-MAX($F19,26)+1)*$D19/$E19</x:f>
        <x:v>0</x:v>
      </x:c>
      <x:c r="N19" s="40" t="n">
        <x:f>MAX(0,MIN($G19,35)-MAX($F19,31)+1)*$D19/$E19</x:f>
        <x:v>0</x:v>
      </x:c>
      <x:c r="O19" s="40" t="n">
        <x:f>MAX(0,MIN($G19,40)-MAX($F19,36)+1)*$D19/$E19</x:f>
        <x:v>0</x:v>
      </x:c>
      <x:c r="P19" s="40" t="n">
        <x:f>MAX(0,MIN($G19,45)-MAX($F19,41)+1)*$D19/$E19</x:f>
        <x:v>0</x:v>
      </x:c>
      <x:c r="Q19" s="40" t="n">
        <x:f>MAX(0,MIN($G19,50)-MAX($F19,46)+1)*$D19/$E19</x:f>
        <x:v>0</x:v>
      </x:c>
      <x:c r="R19" s="40" t="n">
        <x:f>MAX(0,MIN($G19,55)-MAX($F19,51)+1)*$D19/$E19</x:f>
        <x:v>0</x:v>
      </x:c>
      <x:c r="S19" s="40" t="n">
        <x:f>MAX(0,MIN($G19,60)-MAX($F19,56)+1)*$D19/$E19</x:f>
        <x:v>0</x:v>
      </x:c>
      <x:c r="T19" s="40" t="n">
        <x:f>MAX(0,MIN($G19,65)-MAX($F19,61)+1)*$D19/$E19</x:f>
        <x:v>0</x:v>
      </x:c>
      <x:c r="U19" s="40" t="n">
        <x:f>MAX(0,MIN($G19,70)-MAX($F19,66)+1)*$D19/$E19</x:f>
        <x:v>0</x:v>
      </x:c>
      <x:c r="V19" s="40" t="n">
        <x:f>MAX(0,MIN($G19,75)-MAX($F19,71)+1)*$D19/$E19</x:f>
        <x:v>0</x:v>
      </x:c>
      <x:c r="W19" s="40" t="n">
        <x:f>MAX(0,MIN($G19,80)-MAX($F19,76)+1)*$D19/$E19</x:f>
        <x:v>0</x:v>
      </x:c>
      <x:c r="X19" s="40" t="n">
        <x:f>MAX(0,MIN($G19,85)-MAX($F19,81)+1)*$D19/$E19</x:f>
        <x:v>0</x:v>
      </x:c>
      <x:c r="Y19" s="40" t="n">
        <x:f>MAX(0,MIN($G19,90)-MAX($F19,86)+1)*$D19/$E19</x:f>
        <x:v>0</x:v>
      </x:c>
      <x:c r="Z19" s="40" t="n">
        <x:f>MAX(0,MIN($G19,95)-MAX($F19,91)+1)*$D19/$E19</x:f>
        <x:v>0</x:v>
      </x:c>
      <x:c r="AA19" s="40" t="n">
        <x:f>MAX(0,MIN($G19,100)-MAX($F19,96)+1)*$D19/$E19</x:f>
        <x:v>0</x:v>
      </x:c>
      <x:c r="AB19" s="40" t="n">
        <x:f>MAX(0,MIN($G19,105)-MAX($F19,101)+1)*$D19/$E19</x:f>
        <x:v>0</x:v>
      </x:c>
      <x:c r="AC19" s="40" t="n">
        <x:f>MAX(0,MIN($G19,110)-MAX($F19,106)+1)*$D19/$E19</x:f>
        <x:v>0</x:v>
      </x:c>
      <x:c r="AD19" s="40" t="n">
        <x:f>MAX(0,MIN($G19,115)-MAX($F19,111)+1)*$D19/$E19</x:f>
        <x:v>0</x:v>
      </x:c>
      <x:c r="AE19" s="40" t="n">
        <x:f>MAX(0,MIN($G19,120)-MAX($F19,116)+1)*$D19/$E19</x:f>
        <x:v>0</x:v>
      </x:c>
      <x:c r="AF19" s="40" t="n">
        <x:f>MAX(0,MIN($G19,125)-MAX($F19,121)+1)*$D19/$E19</x:f>
        <x:v>0</x:v>
      </x:c>
      <x:c r="AG19" s="40" t="n">
        <x:f>MAX(0,MIN($G19,130)-MAX($F19,126)+1)*$D19/$E19</x:f>
        <x:v>0</x:v>
      </x:c>
      <x:c r="AH19" s="40" t="n">
        <x:f>MAX(0,MIN($G19,135)-MAX($F19,131)+1)*$D19/$E19</x:f>
        <x:v>0</x:v>
      </x:c>
      <x:c r="AI19" s="40" t="n">
        <x:f>MAX(0,MIN($G19,140)-MAX($F19,136)+1)*$D19/$E19</x:f>
        <x:v>0</x:v>
      </x:c>
      <x:c r="AJ19" s="40" t="n">
        <x:f>MAX(0,MIN($G19,145)-MAX($F19,141)+1)*$D19/$E19</x:f>
        <x:v>0</x:v>
      </x:c>
      <x:c r="AK19" s="40" t="n">
        <x:f>MAX(0,MIN($G19,150)-MAX($F19,146)+1)*$D19/$E19</x:f>
        <x:v>0</x:v>
      </x:c>
      <x:c r="AL19" s="40" t="n">
        <x:f>MAX(0,MIN($G19,155)-MAX($F19,151)+1)*$D19/$E19</x:f>
        <x:v>0</x:v>
      </x:c>
      <x:c r="AM19" s="40" t="n">
        <x:f>MAX(0,MIN($G19,160)-MAX($F19,156)+1)*$D19/$E19</x:f>
        <x:v>0</x:v>
      </x:c>
      <x:c r="AN19" s="40" t="n">
        <x:f>MAX(0,MIN($G19,165)-MAX($F19,161)+1)*$D19/$E19</x:f>
        <x:v>0</x:v>
      </x:c>
      <x:c r="AO19" s="40" t="n">
        <x:f>MAX(0,MIN($G19,170)-MAX($F19,166)+1)*$D19/$E19</x:f>
        <x:v>0</x:v>
      </x:c>
      <x:c r="AP19" s="40" t="n">
        <x:f>MAX(0,MIN($G19,175)-MAX($F19,171)+1)*$D19/$E19</x:f>
        <x:v>0</x:v>
      </x:c>
      <x:c r="AQ19" s="40" t="n">
        <x:f>MAX(0,MIN($G19,180)-MAX($F19,176)+1)*$D19/$E19</x:f>
        <x:v>0</x:v>
      </x:c>
    </x:row>
    <x:row r="20" ht="27" customHeight="1">
      <x:c r="A20" s="10" t="str">
        <x:v>A01</x:v>
      </x:c>
      <x:c r="B20" s="10" t="str">
        <x:f>'Tasks'!D13</x:f>
        <x:v>HP</x:v>
      </x:c>
      <x:c r="C20" s="10" t="str">
        <x:v>Owner</x:v>
      </x:c>
      <x:c r="D20" s="39" t="n">
        <x:f>'Tasks'!O13</x:f>
        <x:v>12</x:v>
      </x:c>
      <x:c r="E20" s="39" t="n">
        <x:f>'Tasks'!F13</x:f>
        <x:v>2</x:v>
      </x:c>
      <x:c r="F20" s="39" t="n">
        <x:f>'Tasks'!K13</x:f>
        <x:v>2</x:v>
      </x:c>
      <x:c r="G20" s="39" t="n">
        <x:f>'Tasks'!L13</x:f>
        <x:v>3</x:v>
      </x:c>
      <x:c r="H20" s="39" t="n">
        <x:f>MAX(0,MIN($G20,5)-MAX($F20,1)+1)*$D20/$E20</x:f>
        <x:v>12</x:v>
      </x:c>
      <x:c r="I20" s="39" t="n">
        <x:f>MAX(0,MIN($G20,10)-MAX($F20,6)+1)*$D20/$E20</x:f>
        <x:v>0</x:v>
      </x:c>
      <x:c r="J20" s="39" t="n">
        <x:f>MAX(0,MIN($G20,15)-MAX($F20,11)+1)*$D20/$E20</x:f>
        <x:v>0</x:v>
      </x:c>
      <x:c r="K20" s="39" t="n">
        <x:f>MAX(0,MIN($G20,20)-MAX($F20,16)+1)*$D20/$E20</x:f>
        <x:v>0</x:v>
      </x:c>
      <x:c r="L20" s="39" t="n">
        <x:f>MAX(0,MIN($G20,25)-MAX($F20,21)+1)*$D20/$E20</x:f>
        <x:v>0</x:v>
      </x:c>
      <x:c r="M20" s="39" t="n">
        <x:f>MAX(0,MIN($G20,30)-MAX($F20,26)+1)*$D20/$E20</x:f>
        <x:v>0</x:v>
      </x:c>
      <x:c r="N20" s="39" t="n">
        <x:f>MAX(0,MIN($G20,35)-MAX($F20,31)+1)*$D20/$E20</x:f>
        <x:v>0</x:v>
      </x:c>
      <x:c r="O20" s="39" t="n">
        <x:f>MAX(0,MIN($G20,40)-MAX($F20,36)+1)*$D20/$E20</x:f>
        <x:v>0</x:v>
      </x:c>
      <x:c r="P20" s="39" t="n">
        <x:f>MAX(0,MIN($G20,45)-MAX($F20,41)+1)*$D20/$E20</x:f>
        <x:v>0</x:v>
      </x:c>
      <x:c r="Q20" s="39" t="n">
        <x:f>MAX(0,MIN($G20,50)-MAX($F20,46)+1)*$D20/$E20</x:f>
        <x:v>0</x:v>
      </x:c>
      <x:c r="R20" s="39" t="n">
        <x:f>MAX(0,MIN($G20,55)-MAX($F20,51)+1)*$D20/$E20</x:f>
        <x:v>0</x:v>
      </x:c>
      <x:c r="S20" s="39" t="n">
        <x:f>MAX(0,MIN($G20,60)-MAX($F20,56)+1)*$D20/$E20</x:f>
        <x:v>0</x:v>
      </x:c>
      <x:c r="T20" s="39" t="n">
        <x:f>MAX(0,MIN($G20,65)-MAX($F20,61)+1)*$D20/$E20</x:f>
        <x:v>0</x:v>
      </x:c>
      <x:c r="U20" s="39" t="n">
        <x:f>MAX(0,MIN($G20,70)-MAX($F20,66)+1)*$D20/$E20</x:f>
        <x:v>0</x:v>
      </x:c>
      <x:c r="V20" s="39" t="n">
        <x:f>MAX(0,MIN($G20,75)-MAX($F20,71)+1)*$D20/$E20</x:f>
        <x:v>0</x:v>
      </x:c>
      <x:c r="W20" s="39" t="n">
        <x:f>MAX(0,MIN($G20,80)-MAX($F20,76)+1)*$D20/$E20</x:f>
        <x:v>0</x:v>
      </x:c>
      <x:c r="X20" s="39" t="n">
        <x:f>MAX(0,MIN($G20,85)-MAX($F20,81)+1)*$D20/$E20</x:f>
        <x:v>0</x:v>
      </x:c>
      <x:c r="Y20" s="39" t="n">
        <x:f>MAX(0,MIN($G20,90)-MAX($F20,86)+1)*$D20/$E20</x:f>
        <x:v>0</x:v>
      </x:c>
      <x:c r="Z20" s="39" t="n">
        <x:f>MAX(0,MIN($G20,95)-MAX($F20,91)+1)*$D20/$E20</x:f>
        <x:v>0</x:v>
      </x:c>
      <x:c r="AA20" s="39" t="n">
        <x:f>MAX(0,MIN($G20,100)-MAX($F20,96)+1)*$D20/$E20</x:f>
        <x:v>0</x:v>
      </x:c>
      <x:c r="AB20" s="39" t="n">
        <x:f>MAX(0,MIN($G20,105)-MAX($F20,101)+1)*$D20/$E20</x:f>
        <x:v>0</x:v>
      </x:c>
      <x:c r="AC20" s="39" t="n">
        <x:f>MAX(0,MIN($G20,110)-MAX($F20,106)+1)*$D20/$E20</x:f>
        <x:v>0</x:v>
      </x:c>
      <x:c r="AD20" s="39" t="n">
        <x:f>MAX(0,MIN($G20,115)-MAX($F20,111)+1)*$D20/$E20</x:f>
        <x:v>0</x:v>
      </x:c>
      <x:c r="AE20" s="39" t="n">
        <x:f>MAX(0,MIN($G20,120)-MAX($F20,116)+1)*$D20/$E20</x:f>
        <x:v>0</x:v>
      </x:c>
      <x:c r="AF20" s="39" t="n">
        <x:f>MAX(0,MIN($G20,125)-MAX($F20,121)+1)*$D20/$E20</x:f>
        <x:v>0</x:v>
      </x:c>
      <x:c r="AG20" s="39" t="n">
        <x:f>MAX(0,MIN($G20,130)-MAX($F20,126)+1)*$D20/$E20</x:f>
        <x:v>0</x:v>
      </x:c>
      <x:c r="AH20" s="39" t="n">
        <x:f>MAX(0,MIN($G20,135)-MAX($F20,131)+1)*$D20/$E20</x:f>
        <x:v>0</x:v>
      </x:c>
      <x:c r="AI20" s="39" t="n">
        <x:f>MAX(0,MIN($G20,140)-MAX($F20,136)+1)*$D20/$E20</x:f>
        <x:v>0</x:v>
      </x:c>
      <x:c r="AJ20" s="39" t="n">
        <x:f>MAX(0,MIN($G20,145)-MAX($F20,141)+1)*$D20/$E20</x:f>
        <x:v>0</x:v>
      </x:c>
      <x:c r="AK20" s="39" t="n">
        <x:f>MAX(0,MIN($G20,150)-MAX($F20,146)+1)*$D20/$E20</x:f>
        <x:v>0</x:v>
      </x:c>
      <x:c r="AL20" s="39" t="n">
        <x:f>MAX(0,MIN($G20,155)-MAX($F20,151)+1)*$D20/$E20</x:f>
        <x:v>0</x:v>
      </x:c>
      <x:c r="AM20" s="39" t="n">
        <x:f>MAX(0,MIN($G20,160)-MAX($F20,156)+1)*$D20/$E20</x:f>
        <x:v>0</x:v>
      </x:c>
      <x:c r="AN20" s="39" t="n">
        <x:f>MAX(0,MIN($G20,165)-MAX($F20,161)+1)*$D20/$E20</x:f>
        <x:v>0</x:v>
      </x:c>
      <x:c r="AO20" s="39" t="n">
        <x:f>MAX(0,MIN($G20,170)-MAX($F20,166)+1)*$D20/$E20</x:f>
        <x:v>0</x:v>
      </x:c>
      <x:c r="AP20" s="39" t="n">
        <x:f>MAX(0,MIN($G20,175)-MAX($F20,171)+1)*$D20/$E20</x:f>
        <x:v>0</x:v>
      </x:c>
      <x:c r="AQ20" s="39" t="n">
        <x:f>MAX(0,MIN($G20,180)-MAX($F20,176)+1)*$D20/$E20</x:f>
        <x:v>0</x:v>
      </x:c>
    </x:row>
    <x:row r="21" ht="27" customHeight="1">
      <x:c r="A21" s="9" t="str">
        <x:v>A01</x:v>
      </x:c>
      <x:c r="B21" s="9" t="str">
        <x:f>'Tasks'!P13</x:f>
        <x:v>TD</x:v>
      </x:c>
      <x:c r="C21" s="9" t="str">
        <x:v>Review</x:v>
      </x:c>
      <x:c r="D21" s="40" t="n">
        <x:f>'Tasks'!Q13</x:f>
        <x:v>2</x:v>
      </x:c>
      <x:c r="E21" s="40" t="n">
        <x:f>'Tasks'!F13</x:f>
        <x:v>2</x:v>
      </x:c>
      <x:c r="F21" s="40" t="n">
        <x:f>'Tasks'!K13</x:f>
        <x:v>2</x:v>
      </x:c>
      <x:c r="G21" s="40" t="n">
        <x:f>'Tasks'!L13</x:f>
        <x:v>3</x:v>
      </x:c>
      <x:c r="H21" s="40" t="n">
        <x:f>MAX(0,MIN($G21,5)-MAX($F21,1)+1)*$D21/$E21</x:f>
        <x:v>2</x:v>
      </x:c>
      <x:c r="I21" s="40" t="n">
        <x:f>MAX(0,MIN($G21,10)-MAX($F21,6)+1)*$D21/$E21</x:f>
        <x:v>0</x:v>
      </x:c>
      <x:c r="J21" s="40" t="n">
        <x:f>MAX(0,MIN($G21,15)-MAX($F21,11)+1)*$D21/$E21</x:f>
        <x:v>0</x:v>
      </x:c>
      <x:c r="K21" s="40" t="n">
        <x:f>MAX(0,MIN($G21,20)-MAX($F21,16)+1)*$D21/$E21</x:f>
        <x:v>0</x:v>
      </x:c>
      <x:c r="L21" s="40" t="n">
        <x:f>MAX(0,MIN($G21,25)-MAX($F21,21)+1)*$D21/$E21</x:f>
        <x:v>0</x:v>
      </x:c>
      <x:c r="M21" s="40" t="n">
        <x:f>MAX(0,MIN($G21,30)-MAX($F21,26)+1)*$D21/$E21</x:f>
        <x:v>0</x:v>
      </x:c>
      <x:c r="N21" s="40" t="n">
        <x:f>MAX(0,MIN($G21,35)-MAX($F21,31)+1)*$D21/$E21</x:f>
        <x:v>0</x:v>
      </x:c>
      <x:c r="O21" s="40" t="n">
        <x:f>MAX(0,MIN($G21,40)-MAX($F21,36)+1)*$D21/$E21</x:f>
        <x:v>0</x:v>
      </x:c>
      <x:c r="P21" s="40" t="n">
        <x:f>MAX(0,MIN($G21,45)-MAX($F21,41)+1)*$D21/$E21</x:f>
        <x:v>0</x:v>
      </x:c>
      <x:c r="Q21" s="40" t="n">
        <x:f>MAX(0,MIN($G21,50)-MAX($F21,46)+1)*$D21/$E21</x:f>
        <x:v>0</x:v>
      </x:c>
      <x:c r="R21" s="40" t="n">
        <x:f>MAX(0,MIN($G21,55)-MAX($F21,51)+1)*$D21/$E21</x:f>
        <x:v>0</x:v>
      </x:c>
      <x:c r="S21" s="40" t="n">
        <x:f>MAX(0,MIN($G21,60)-MAX($F21,56)+1)*$D21/$E21</x:f>
        <x:v>0</x:v>
      </x:c>
      <x:c r="T21" s="40" t="n">
        <x:f>MAX(0,MIN($G21,65)-MAX($F21,61)+1)*$D21/$E21</x:f>
        <x:v>0</x:v>
      </x:c>
      <x:c r="U21" s="40" t="n">
        <x:f>MAX(0,MIN($G21,70)-MAX($F21,66)+1)*$D21/$E21</x:f>
        <x:v>0</x:v>
      </x:c>
      <x:c r="V21" s="40" t="n">
        <x:f>MAX(0,MIN($G21,75)-MAX($F21,71)+1)*$D21/$E21</x:f>
        <x:v>0</x:v>
      </x:c>
      <x:c r="W21" s="40" t="n">
        <x:f>MAX(0,MIN($G21,80)-MAX($F21,76)+1)*$D21/$E21</x:f>
        <x:v>0</x:v>
      </x:c>
      <x:c r="X21" s="40" t="n">
        <x:f>MAX(0,MIN($G21,85)-MAX($F21,81)+1)*$D21/$E21</x:f>
        <x:v>0</x:v>
      </x:c>
      <x:c r="Y21" s="40" t="n">
        <x:f>MAX(0,MIN($G21,90)-MAX($F21,86)+1)*$D21/$E21</x:f>
        <x:v>0</x:v>
      </x:c>
      <x:c r="Z21" s="40" t="n">
        <x:f>MAX(0,MIN($G21,95)-MAX($F21,91)+1)*$D21/$E21</x:f>
        <x:v>0</x:v>
      </x:c>
      <x:c r="AA21" s="40" t="n">
        <x:f>MAX(0,MIN($G21,100)-MAX($F21,96)+1)*$D21/$E21</x:f>
        <x:v>0</x:v>
      </x:c>
      <x:c r="AB21" s="40" t="n">
        <x:f>MAX(0,MIN($G21,105)-MAX($F21,101)+1)*$D21/$E21</x:f>
        <x:v>0</x:v>
      </x:c>
      <x:c r="AC21" s="40" t="n">
        <x:f>MAX(0,MIN($G21,110)-MAX($F21,106)+1)*$D21/$E21</x:f>
        <x:v>0</x:v>
      </x:c>
      <x:c r="AD21" s="40" t="n">
        <x:f>MAX(0,MIN($G21,115)-MAX($F21,111)+1)*$D21/$E21</x:f>
        <x:v>0</x:v>
      </x:c>
      <x:c r="AE21" s="40" t="n">
        <x:f>MAX(0,MIN($G21,120)-MAX($F21,116)+1)*$D21/$E21</x:f>
        <x:v>0</x:v>
      </x:c>
      <x:c r="AF21" s="40" t="n">
        <x:f>MAX(0,MIN($G21,125)-MAX($F21,121)+1)*$D21/$E21</x:f>
        <x:v>0</x:v>
      </x:c>
      <x:c r="AG21" s="40" t="n">
        <x:f>MAX(0,MIN($G21,130)-MAX($F21,126)+1)*$D21/$E21</x:f>
        <x:v>0</x:v>
      </x:c>
      <x:c r="AH21" s="40" t="n">
        <x:f>MAX(0,MIN($G21,135)-MAX($F21,131)+1)*$D21/$E21</x:f>
        <x:v>0</x:v>
      </x:c>
      <x:c r="AI21" s="40" t="n">
        <x:f>MAX(0,MIN($G21,140)-MAX($F21,136)+1)*$D21/$E21</x:f>
        <x:v>0</x:v>
      </x:c>
      <x:c r="AJ21" s="40" t="n">
        <x:f>MAX(0,MIN($G21,145)-MAX($F21,141)+1)*$D21/$E21</x:f>
        <x:v>0</x:v>
      </x:c>
      <x:c r="AK21" s="40" t="n">
        <x:f>MAX(0,MIN($G21,150)-MAX($F21,146)+1)*$D21/$E21</x:f>
        <x:v>0</x:v>
      </x:c>
      <x:c r="AL21" s="40" t="n">
        <x:f>MAX(0,MIN($G21,155)-MAX($F21,151)+1)*$D21/$E21</x:f>
        <x:v>0</x:v>
      </x:c>
      <x:c r="AM21" s="40" t="n">
        <x:f>MAX(0,MIN($G21,160)-MAX($F21,156)+1)*$D21/$E21</x:f>
        <x:v>0</x:v>
      </x:c>
      <x:c r="AN21" s="40" t="n">
        <x:f>MAX(0,MIN($G21,165)-MAX($F21,161)+1)*$D21/$E21</x:f>
        <x:v>0</x:v>
      </x:c>
      <x:c r="AO21" s="40" t="n">
        <x:f>MAX(0,MIN($G21,170)-MAX($F21,166)+1)*$D21/$E21</x:f>
        <x:v>0</x:v>
      </x:c>
      <x:c r="AP21" s="40" t="n">
        <x:f>MAX(0,MIN($G21,175)-MAX($F21,171)+1)*$D21/$E21</x:f>
        <x:v>0</x:v>
      </x:c>
      <x:c r="AQ21" s="40" t="n">
        <x:f>MAX(0,MIN($G21,180)-MAX($F21,176)+1)*$D21/$E21</x:f>
        <x:v>0</x:v>
      </x:c>
    </x:row>
    <x:row r="22" ht="27" customHeight="1">
      <x:c r="A22" s="10" t="str">
        <x:v>A02</x:v>
      </x:c>
      <x:c r="B22" s="10" t="str">
        <x:f>'Tasks'!D14</x:f>
        <x:v>MD</x:v>
      </x:c>
      <x:c r="C22" s="10" t="str">
        <x:v>Owner</x:v>
      </x:c>
      <x:c r="D22" s="39" t="n">
        <x:f>'Tasks'!O14</x:f>
        <x:v>10</x:v>
      </x:c>
      <x:c r="E22" s="39" t="n">
        <x:f>'Tasks'!F14</x:f>
        <x:v>3</x:v>
      </x:c>
      <x:c r="F22" s="39" t="n">
        <x:f>'Tasks'!K14</x:f>
        <x:v>1</x:v>
      </x:c>
      <x:c r="G22" s="39" t="n">
        <x:f>'Tasks'!L14</x:f>
        <x:v>3</x:v>
      </x:c>
      <x:c r="H22" s="39" t="n">
        <x:f>MAX(0,MIN($G22,5)-MAX($F22,1)+1)*$D22/$E22</x:f>
        <x:v>10</x:v>
      </x:c>
      <x:c r="I22" s="39" t="n">
        <x:f>MAX(0,MIN($G22,10)-MAX($F22,6)+1)*$D22/$E22</x:f>
        <x:v>0</x:v>
      </x:c>
      <x:c r="J22" s="39" t="n">
        <x:f>MAX(0,MIN($G22,15)-MAX($F22,11)+1)*$D22/$E22</x:f>
        <x:v>0</x:v>
      </x:c>
      <x:c r="K22" s="39" t="n">
        <x:f>MAX(0,MIN($G22,20)-MAX($F22,16)+1)*$D22/$E22</x:f>
        <x:v>0</x:v>
      </x:c>
      <x:c r="L22" s="39" t="n">
        <x:f>MAX(0,MIN($G22,25)-MAX($F22,21)+1)*$D22/$E22</x:f>
        <x:v>0</x:v>
      </x:c>
      <x:c r="M22" s="39" t="n">
        <x:f>MAX(0,MIN($G22,30)-MAX($F22,26)+1)*$D22/$E22</x:f>
        <x:v>0</x:v>
      </x:c>
      <x:c r="N22" s="39" t="n">
        <x:f>MAX(0,MIN($G22,35)-MAX($F22,31)+1)*$D22/$E22</x:f>
        <x:v>0</x:v>
      </x:c>
      <x:c r="O22" s="39" t="n">
        <x:f>MAX(0,MIN($G22,40)-MAX($F22,36)+1)*$D22/$E22</x:f>
        <x:v>0</x:v>
      </x:c>
      <x:c r="P22" s="39" t="n">
        <x:f>MAX(0,MIN($G22,45)-MAX($F22,41)+1)*$D22/$E22</x:f>
        <x:v>0</x:v>
      </x:c>
      <x:c r="Q22" s="39" t="n">
        <x:f>MAX(0,MIN($G22,50)-MAX($F22,46)+1)*$D22/$E22</x:f>
        <x:v>0</x:v>
      </x:c>
      <x:c r="R22" s="39" t="n">
        <x:f>MAX(0,MIN($G22,55)-MAX($F22,51)+1)*$D22/$E22</x:f>
        <x:v>0</x:v>
      </x:c>
      <x:c r="S22" s="39" t="n">
        <x:f>MAX(0,MIN($G22,60)-MAX($F22,56)+1)*$D22/$E22</x:f>
        <x:v>0</x:v>
      </x:c>
      <x:c r="T22" s="39" t="n">
        <x:f>MAX(0,MIN($G22,65)-MAX($F22,61)+1)*$D22/$E22</x:f>
        <x:v>0</x:v>
      </x:c>
      <x:c r="U22" s="39" t="n">
        <x:f>MAX(0,MIN($G22,70)-MAX($F22,66)+1)*$D22/$E22</x:f>
        <x:v>0</x:v>
      </x:c>
      <x:c r="V22" s="39" t="n">
        <x:f>MAX(0,MIN($G22,75)-MAX($F22,71)+1)*$D22/$E22</x:f>
        <x:v>0</x:v>
      </x:c>
      <x:c r="W22" s="39" t="n">
        <x:f>MAX(0,MIN($G22,80)-MAX($F22,76)+1)*$D22/$E22</x:f>
        <x:v>0</x:v>
      </x:c>
      <x:c r="X22" s="39" t="n">
        <x:f>MAX(0,MIN($G22,85)-MAX($F22,81)+1)*$D22/$E22</x:f>
        <x:v>0</x:v>
      </x:c>
      <x:c r="Y22" s="39" t="n">
        <x:f>MAX(0,MIN($G22,90)-MAX($F22,86)+1)*$D22/$E22</x:f>
        <x:v>0</x:v>
      </x:c>
      <x:c r="Z22" s="39" t="n">
        <x:f>MAX(0,MIN($G22,95)-MAX($F22,91)+1)*$D22/$E22</x:f>
        <x:v>0</x:v>
      </x:c>
      <x:c r="AA22" s="39" t="n">
        <x:f>MAX(0,MIN($G22,100)-MAX($F22,96)+1)*$D22/$E22</x:f>
        <x:v>0</x:v>
      </x:c>
      <x:c r="AB22" s="39" t="n">
        <x:f>MAX(0,MIN($G22,105)-MAX($F22,101)+1)*$D22/$E22</x:f>
        <x:v>0</x:v>
      </x:c>
      <x:c r="AC22" s="39" t="n">
        <x:f>MAX(0,MIN($G22,110)-MAX($F22,106)+1)*$D22/$E22</x:f>
        <x:v>0</x:v>
      </x:c>
      <x:c r="AD22" s="39" t="n">
        <x:f>MAX(0,MIN($G22,115)-MAX($F22,111)+1)*$D22/$E22</x:f>
        <x:v>0</x:v>
      </x:c>
      <x:c r="AE22" s="39" t="n">
        <x:f>MAX(0,MIN($G22,120)-MAX($F22,116)+1)*$D22/$E22</x:f>
        <x:v>0</x:v>
      </x:c>
      <x:c r="AF22" s="39" t="n">
        <x:f>MAX(0,MIN($G22,125)-MAX($F22,121)+1)*$D22/$E22</x:f>
        <x:v>0</x:v>
      </x:c>
      <x:c r="AG22" s="39" t="n">
        <x:f>MAX(0,MIN($G22,130)-MAX($F22,126)+1)*$D22/$E22</x:f>
        <x:v>0</x:v>
      </x:c>
      <x:c r="AH22" s="39" t="n">
        <x:f>MAX(0,MIN($G22,135)-MAX($F22,131)+1)*$D22/$E22</x:f>
        <x:v>0</x:v>
      </x:c>
      <x:c r="AI22" s="39" t="n">
        <x:f>MAX(0,MIN($G22,140)-MAX($F22,136)+1)*$D22/$E22</x:f>
        <x:v>0</x:v>
      </x:c>
      <x:c r="AJ22" s="39" t="n">
        <x:f>MAX(0,MIN($G22,145)-MAX($F22,141)+1)*$D22/$E22</x:f>
        <x:v>0</x:v>
      </x:c>
      <x:c r="AK22" s="39" t="n">
        <x:f>MAX(0,MIN($G22,150)-MAX($F22,146)+1)*$D22/$E22</x:f>
        <x:v>0</x:v>
      </x:c>
      <x:c r="AL22" s="39" t="n">
        <x:f>MAX(0,MIN($G22,155)-MAX($F22,151)+1)*$D22/$E22</x:f>
        <x:v>0</x:v>
      </x:c>
      <x:c r="AM22" s="39" t="n">
        <x:f>MAX(0,MIN($G22,160)-MAX($F22,156)+1)*$D22/$E22</x:f>
        <x:v>0</x:v>
      </x:c>
      <x:c r="AN22" s="39" t="n">
        <x:f>MAX(0,MIN($G22,165)-MAX($F22,161)+1)*$D22/$E22</x:f>
        <x:v>0</x:v>
      </x:c>
      <x:c r="AO22" s="39" t="n">
        <x:f>MAX(0,MIN($G22,170)-MAX($F22,166)+1)*$D22/$E22</x:f>
        <x:v>0</x:v>
      </x:c>
      <x:c r="AP22" s="39" t="n">
        <x:f>MAX(0,MIN($G22,175)-MAX($F22,171)+1)*$D22/$E22</x:f>
        <x:v>0</x:v>
      </x:c>
      <x:c r="AQ22" s="39" t="n">
        <x:f>MAX(0,MIN($G22,180)-MAX($F22,176)+1)*$D22/$E22</x:f>
        <x:v>0</x:v>
      </x:c>
    </x:row>
    <x:row r="23" ht="27" customHeight="1">
      <x:c r="A23" s="9" t="str">
        <x:v>A02</x:v>
      </x:c>
      <x:c r="B23" s="9" t="str">
        <x:f>'Tasks'!P14</x:f>
        <x:v>HP</x:v>
      </x:c>
      <x:c r="C23" s="9" t="str">
        <x:v>Review</x:v>
      </x:c>
      <x:c r="D23" s="40" t="n">
        <x:f>'Tasks'!Q14</x:f>
        <x:v>2</x:v>
      </x:c>
      <x:c r="E23" s="40" t="n">
        <x:f>'Tasks'!F14</x:f>
        <x:v>3</x:v>
      </x:c>
      <x:c r="F23" s="40" t="n">
        <x:f>'Tasks'!K14</x:f>
        <x:v>1</x:v>
      </x:c>
      <x:c r="G23" s="40" t="n">
        <x:f>'Tasks'!L14</x:f>
        <x:v>3</x:v>
      </x:c>
      <x:c r="H23" s="40" t="n">
        <x:f>MAX(0,MIN($G23,5)-MAX($F23,1)+1)*$D23/$E23</x:f>
        <x:v>2</x:v>
      </x:c>
      <x:c r="I23" s="40" t="n">
        <x:f>MAX(0,MIN($G23,10)-MAX($F23,6)+1)*$D23/$E23</x:f>
        <x:v>0</x:v>
      </x:c>
      <x:c r="J23" s="40" t="n">
        <x:f>MAX(0,MIN($G23,15)-MAX($F23,11)+1)*$D23/$E23</x:f>
        <x:v>0</x:v>
      </x:c>
      <x:c r="K23" s="40" t="n">
        <x:f>MAX(0,MIN($G23,20)-MAX($F23,16)+1)*$D23/$E23</x:f>
        <x:v>0</x:v>
      </x:c>
      <x:c r="L23" s="40" t="n">
        <x:f>MAX(0,MIN($G23,25)-MAX($F23,21)+1)*$D23/$E23</x:f>
        <x:v>0</x:v>
      </x:c>
      <x:c r="M23" s="40" t="n">
        <x:f>MAX(0,MIN($G23,30)-MAX($F23,26)+1)*$D23/$E23</x:f>
        <x:v>0</x:v>
      </x:c>
      <x:c r="N23" s="40" t="n">
        <x:f>MAX(0,MIN($G23,35)-MAX($F23,31)+1)*$D23/$E23</x:f>
        <x:v>0</x:v>
      </x:c>
      <x:c r="O23" s="40" t="n">
        <x:f>MAX(0,MIN($G23,40)-MAX($F23,36)+1)*$D23/$E23</x:f>
        <x:v>0</x:v>
      </x:c>
      <x:c r="P23" s="40" t="n">
        <x:f>MAX(0,MIN($G23,45)-MAX($F23,41)+1)*$D23/$E23</x:f>
        <x:v>0</x:v>
      </x:c>
      <x:c r="Q23" s="40" t="n">
        <x:f>MAX(0,MIN($G23,50)-MAX($F23,46)+1)*$D23/$E23</x:f>
        <x:v>0</x:v>
      </x:c>
      <x:c r="R23" s="40" t="n">
        <x:f>MAX(0,MIN($G23,55)-MAX($F23,51)+1)*$D23/$E23</x:f>
        <x:v>0</x:v>
      </x:c>
      <x:c r="S23" s="40" t="n">
        <x:f>MAX(0,MIN($G23,60)-MAX($F23,56)+1)*$D23/$E23</x:f>
        <x:v>0</x:v>
      </x:c>
      <x:c r="T23" s="40" t="n">
        <x:f>MAX(0,MIN($G23,65)-MAX($F23,61)+1)*$D23/$E23</x:f>
        <x:v>0</x:v>
      </x:c>
      <x:c r="U23" s="40" t="n">
        <x:f>MAX(0,MIN($G23,70)-MAX($F23,66)+1)*$D23/$E23</x:f>
        <x:v>0</x:v>
      </x:c>
      <x:c r="V23" s="40" t="n">
        <x:f>MAX(0,MIN($G23,75)-MAX($F23,71)+1)*$D23/$E23</x:f>
        <x:v>0</x:v>
      </x:c>
      <x:c r="W23" s="40" t="n">
        <x:f>MAX(0,MIN($G23,80)-MAX($F23,76)+1)*$D23/$E23</x:f>
        <x:v>0</x:v>
      </x:c>
      <x:c r="X23" s="40" t="n">
        <x:f>MAX(0,MIN($G23,85)-MAX($F23,81)+1)*$D23/$E23</x:f>
        <x:v>0</x:v>
      </x:c>
      <x:c r="Y23" s="40" t="n">
        <x:f>MAX(0,MIN($G23,90)-MAX($F23,86)+1)*$D23/$E23</x:f>
        <x:v>0</x:v>
      </x:c>
      <x:c r="Z23" s="40" t="n">
        <x:f>MAX(0,MIN($G23,95)-MAX($F23,91)+1)*$D23/$E23</x:f>
        <x:v>0</x:v>
      </x:c>
      <x:c r="AA23" s="40" t="n">
        <x:f>MAX(0,MIN($G23,100)-MAX($F23,96)+1)*$D23/$E23</x:f>
        <x:v>0</x:v>
      </x:c>
      <x:c r="AB23" s="40" t="n">
        <x:f>MAX(0,MIN($G23,105)-MAX($F23,101)+1)*$D23/$E23</x:f>
        <x:v>0</x:v>
      </x:c>
      <x:c r="AC23" s="40" t="n">
        <x:f>MAX(0,MIN($G23,110)-MAX($F23,106)+1)*$D23/$E23</x:f>
        <x:v>0</x:v>
      </x:c>
      <x:c r="AD23" s="40" t="n">
        <x:f>MAX(0,MIN($G23,115)-MAX($F23,111)+1)*$D23/$E23</x:f>
        <x:v>0</x:v>
      </x:c>
      <x:c r="AE23" s="40" t="n">
        <x:f>MAX(0,MIN($G23,120)-MAX($F23,116)+1)*$D23/$E23</x:f>
        <x:v>0</x:v>
      </x:c>
      <x:c r="AF23" s="40" t="n">
        <x:f>MAX(0,MIN($G23,125)-MAX($F23,121)+1)*$D23/$E23</x:f>
        <x:v>0</x:v>
      </x:c>
      <x:c r="AG23" s="40" t="n">
        <x:f>MAX(0,MIN($G23,130)-MAX($F23,126)+1)*$D23/$E23</x:f>
        <x:v>0</x:v>
      </x:c>
      <x:c r="AH23" s="40" t="n">
        <x:f>MAX(0,MIN($G23,135)-MAX($F23,131)+1)*$D23/$E23</x:f>
        <x:v>0</x:v>
      </x:c>
      <x:c r="AI23" s="40" t="n">
        <x:f>MAX(0,MIN($G23,140)-MAX($F23,136)+1)*$D23/$E23</x:f>
        <x:v>0</x:v>
      </x:c>
      <x:c r="AJ23" s="40" t="n">
        <x:f>MAX(0,MIN($G23,145)-MAX($F23,141)+1)*$D23/$E23</x:f>
        <x:v>0</x:v>
      </x:c>
      <x:c r="AK23" s="40" t="n">
        <x:f>MAX(0,MIN($G23,150)-MAX($F23,146)+1)*$D23/$E23</x:f>
        <x:v>0</x:v>
      </x:c>
      <x:c r="AL23" s="40" t="n">
        <x:f>MAX(0,MIN($G23,155)-MAX($F23,151)+1)*$D23/$E23</x:f>
        <x:v>0</x:v>
      </x:c>
      <x:c r="AM23" s="40" t="n">
        <x:f>MAX(0,MIN($G23,160)-MAX($F23,156)+1)*$D23/$E23</x:f>
        <x:v>0</x:v>
      </x:c>
      <x:c r="AN23" s="40" t="n">
        <x:f>MAX(0,MIN($G23,165)-MAX($F23,161)+1)*$D23/$E23</x:f>
        <x:v>0</x:v>
      </x:c>
      <x:c r="AO23" s="40" t="n">
        <x:f>MAX(0,MIN($G23,170)-MAX($F23,166)+1)*$D23/$E23</x:f>
        <x:v>0</x:v>
      </x:c>
      <x:c r="AP23" s="40" t="n">
        <x:f>MAX(0,MIN($G23,175)-MAX($F23,171)+1)*$D23/$E23</x:f>
        <x:v>0</x:v>
      </x:c>
      <x:c r="AQ23" s="40" t="n">
        <x:f>MAX(0,MIN($G23,180)-MAX($F23,176)+1)*$D23/$E23</x:f>
        <x:v>0</x:v>
      </x:c>
    </x:row>
    <x:row r="24" ht="27" customHeight="1">
      <x:c r="A24" s="10" t="str">
        <x:v>A03</x:v>
      </x:c>
      <x:c r="B24" s="10" t="str">
        <x:f>'Tasks'!D15</x:f>
        <x:v>CD</x:v>
      </x:c>
      <x:c r="C24" s="10" t="str">
        <x:v>Owner</x:v>
      </x:c>
      <x:c r="D24" s="39" t="n">
        <x:f>'Tasks'!O15</x:f>
        <x:v>24</x:v>
      </x:c>
      <x:c r="E24" s="39" t="n">
        <x:f>'Tasks'!F15</x:f>
        <x:v>4</x:v>
      </x:c>
      <x:c r="F24" s="39" t="n">
        <x:f>'Tasks'!K15</x:f>
        <x:v>4</x:v>
      </x:c>
      <x:c r="G24" s="39" t="n">
        <x:f>'Tasks'!L15</x:f>
        <x:v>7</x:v>
      </x:c>
      <x:c r="H24" s="39" t="n">
        <x:f>MAX(0,MIN($G24,5)-MAX($F24,1)+1)*$D24/$E24</x:f>
        <x:v>12</x:v>
      </x:c>
      <x:c r="I24" s="39" t="n">
        <x:f>MAX(0,MIN($G24,10)-MAX($F24,6)+1)*$D24/$E24</x:f>
        <x:v>12</x:v>
      </x:c>
      <x:c r="J24" s="39" t="n">
        <x:f>MAX(0,MIN($G24,15)-MAX($F24,11)+1)*$D24/$E24</x:f>
        <x:v>0</x:v>
      </x:c>
      <x:c r="K24" s="39" t="n">
        <x:f>MAX(0,MIN($G24,20)-MAX($F24,16)+1)*$D24/$E24</x:f>
        <x:v>0</x:v>
      </x:c>
      <x:c r="L24" s="39" t="n">
        <x:f>MAX(0,MIN($G24,25)-MAX($F24,21)+1)*$D24/$E24</x:f>
        <x:v>0</x:v>
      </x:c>
      <x:c r="M24" s="39" t="n">
        <x:f>MAX(0,MIN($G24,30)-MAX($F24,26)+1)*$D24/$E24</x:f>
        <x:v>0</x:v>
      </x:c>
      <x:c r="N24" s="39" t="n">
        <x:f>MAX(0,MIN($G24,35)-MAX($F24,31)+1)*$D24/$E24</x:f>
        <x:v>0</x:v>
      </x:c>
      <x:c r="O24" s="39" t="n">
        <x:f>MAX(0,MIN($G24,40)-MAX($F24,36)+1)*$D24/$E24</x:f>
        <x:v>0</x:v>
      </x:c>
      <x:c r="P24" s="39" t="n">
        <x:f>MAX(0,MIN($G24,45)-MAX($F24,41)+1)*$D24/$E24</x:f>
        <x:v>0</x:v>
      </x:c>
      <x:c r="Q24" s="39" t="n">
        <x:f>MAX(0,MIN($G24,50)-MAX($F24,46)+1)*$D24/$E24</x:f>
        <x:v>0</x:v>
      </x:c>
      <x:c r="R24" s="39" t="n">
        <x:f>MAX(0,MIN($G24,55)-MAX($F24,51)+1)*$D24/$E24</x:f>
        <x:v>0</x:v>
      </x:c>
      <x:c r="S24" s="39" t="n">
        <x:f>MAX(0,MIN($G24,60)-MAX($F24,56)+1)*$D24/$E24</x:f>
        <x:v>0</x:v>
      </x:c>
      <x:c r="T24" s="39" t="n">
        <x:f>MAX(0,MIN($G24,65)-MAX($F24,61)+1)*$D24/$E24</x:f>
        <x:v>0</x:v>
      </x:c>
      <x:c r="U24" s="39" t="n">
        <x:f>MAX(0,MIN($G24,70)-MAX($F24,66)+1)*$D24/$E24</x:f>
        <x:v>0</x:v>
      </x:c>
      <x:c r="V24" s="39" t="n">
        <x:f>MAX(0,MIN($G24,75)-MAX($F24,71)+1)*$D24/$E24</x:f>
        <x:v>0</x:v>
      </x:c>
      <x:c r="W24" s="39" t="n">
        <x:f>MAX(0,MIN($G24,80)-MAX($F24,76)+1)*$D24/$E24</x:f>
        <x:v>0</x:v>
      </x:c>
      <x:c r="X24" s="39" t="n">
        <x:f>MAX(0,MIN($G24,85)-MAX($F24,81)+1)*$D24/$E24</x:f>
        <x:v>0</x:v>
      </x:c>
      <x:c r="Y24" s="39" t="n">
        <x:f>MAX(0,MIN($G24,90)-MAX($F24,86)+1)*$D24/$E24</x:f>
        <x:v>0</x:v>
      </x:c>
      <x:c r="Z24" s="39" t="n">
        <x:f>MAX(0,MIN($G24,95)-MAX($F24,91)+1)*$D24/$E24</x:f>
        <x:v>0</x:v>
      </x:c>
      <x:c r="AA24" s="39" t="n">
        <x:f>MAX(0,MIN($G24,100)-MAX($F24,96)+1)*$D24/$E24</x:f>
        <x:v>0</x:v>
      </x:c>
      <x:c r="AB24" s="39" t="n">
        <x:f>MAX(0,MIN($G24,105)-MAX($F24,101)+1)*$D24/$E24</x:f>
        <x:v>0</x:v>
      </x:c>
      <x:c r="AC24" s="39" t="n">
        <x:f>MAX(0,MIN($G24,110)-MAX($F24,106)+1)*$D24/$E24</x:f>
        <x:v>0</x:v>
      </x:c>
      <x:c r="AD24" s="39" t="n">
        <x:f>MAX(0,MIN($G24,115)-MAX($F24,111)+1)*$D24/$E24</x:f>
        <x:v>0</x:v>
      </x:c>
      <x:c r="AE24" s="39" t="n">
        <x:f>MAX(0,MIN($G24,120)-MAX($F24,116)+1)*$D24/$E24</x:f>
        <x:v>0</x:v>
      </x:c>
      <x:c r="AF24" s="39" t="n">
        <x:f>MAX(0,MIN($G24,125)-MAX($F24,121)+1)*$D24/$E24</x:f>
        <x:v>0</x:v>
      </x:c>
      <x:c r="AG24" s="39" t="n">
        <x:f>MAX(0,MIN($G24,130)-MAX($F24,126)+1)*$D24/$E24</x:f>
        <x:v>0</x:v>
      </x:c>
      <x:c r="AH24" s="39" t="n">
        <x:f>MAX(0,MIN($G24,135)-MAX($F24,131)+1)*$D24/$E24</x:f>
        <x:v>0</x:v>
      </x:c>
      <x:c r="AI24" s="39" t="n">
        <x:f>MAX(0,MIN($G24,140)-MAX($F24,136)+1)*$D24/$E24</x:f>
        <x:v>0</x:v>
      </x:c>
      <x:c r="AJ24" s="39" t="n">
        <x:f>MAX(0,MIN($G24,145)-MAX($F24,141)+1)*$D24/$E24</x:f>
        <x:v>0</x:v>
      </x:c>
      <x:c r="AK24" s="39" t="n">
        <x:f>MAX(0,MIN($G24,150)-MAX($F24,146)+1)*$D24/$E24</x:f>
        <x:v>0</x:v>
      </x:c>
      <x:c r="AL24" s="39" t="n">
        <x:f>MAX(0,MIN($G24,155)-MAX($F24,151)+1)*$D24/$E24</x:f>
        <x:v>0</x:v>
      </x:c>
      <x:c r="AM24" s="39" t="n">
        <x:f>MAX(0,MIN($G24,160)-MAX($F24,156)+1)*$D24/$E24</x:f>
        <x:v>0</x:v>
      </x:c>
      <x:c r="AN24" s="39" t="n">
        <x:f>MAX(0,MIN($G24,165)-MAX($F24,161)+1)*$D24/$E24</x:f>
        <x:v>0</x:v>
      </x:c>
      <x:c r="AO24" s="39" t="n">
        <x:f>MAX(0,MIN($G24,170)-MAX($F24,166)+1)*$D24/$E24</x:f>
        <x:v>0</x:v>
      </x:c>
      <x:c r="AP24" s="39" t="n">
        <x:f>MAX(0,MIN($G24,175)-MAX($F24,171)+1)*$D24/$E24</x:f>
        <x:v>0</x:v>
      </x:c>
      <x:c r="AQ24" s="39" t="n">
        <x:f>MAX(0,MIN($G24,180)-MAX($F24,176)+1)*$D24/$E24</x:f>
        <x:v>0</x:v>
      </x:c>
    </x:row>
    <x:row r="25" ht="27" customHeight="1">
      <x:c r="A25" s="9" t="str">
        <x:v>A03</x:v>
      </x:c>
      <x:c r="B25" s="9" t="str">
        <x:f>'Tasks'!P15</x:f>
        <x:v>HP</x:v>
      </x:c>
      <x:c r="C25" s="9" t="str">
        <x:v>Review</x:v>
      </x:c>
      <x:c r="D25" s="40" t="n">
        <x:f>'Tasks'!Q15</x:f>
        <x:v>4</x:v>
      </x:c>
      <x:c r="E25" s="40" t="n">
        <x:f>'Tasks'!F15</x:f>
        <x:v>4</x:v>
      </x:c>
      <x:c r="F25" s="40" t="n">
        <x:f>'Tasks'!K15</x:f>
        <x:v>4</x:v>
      </x:c>
      <x:c r="G25" s="40" t="n">
        <x:f>'Tasks'!L15</x:f>
        <x:v>7</x:v>
      </x:c>
      <x:c r="H25" s="40" t="n">
        <x:f>MAX(0,MIN($G25,5)-MAX($F25,1)+1)*$D25/$E25</x:f>
        <x:v>2</x:v>
      </x:c>
      <x:c r="I25" s="40" t="n">
        <x:f>MAX(0,MIN($G25,10)-MAX($F25,6)+1)*$D25/$E25</x:f>
        <x:v>2</x:v>
      </x:c>
      <x:c r="J25" s="40" t="n">
        <x:f>MAX(0,MIN($G25,15)-MAX($F25,11)+1)*$D25/$E25</x:f>
        <x:v>0</x:v>
      </x:c>
      <x:c r="K25" s="40" t="n">
        <x:f>MAX(0,MIN($G25,20)-MAX($F25,16)+1)*$D25/$E25</x:f>
        <x:v>0</x:v>
      </x:c>
      <x:c r="L25" s="40" t="n">
        <x:f>MAX(0,MIN($G25,25)-MAX($F25,21)+1)*$D25/$E25</x:f>
        <x:v>0</x:v>
      </x:c>
      <x:c r="M25" s="40" t="n">
        <x:f>MAX(0,MIN($G25,30)-MAX($F25,26)+1)*$D25/$E25</x:f>
        <x:v>0</x:v>
      </x:c>
      <x:c r="N25" s="40" t="n">
        <x:f>MAX(0,MIN($G25,35)-MAX($F25,31)+1)*$D25/$E25</x:f>
        <x:v>0</x:v>
      </x:c>
      <x:c r="O25" s="40" t="n">
        <x:f>MAX(0,MIN($G25,40)-MAX($F25,36)+1)*$D25/$E25</x:f>
        <x:v>0</x:v>
      </x:c>
      <x:c r="P25" s="40" t="n">
        <x:f>MAX(0,MIN($G25,45)-MAX($F25,41)+1)*$D25/$E25</x:f>
        <x:v>0</x:v>
      </x:c>
      <x:c r="Q25" s="40" t="n">
        <x:f>MAX(0,MIN($G25,50)-MAX($F25,46)+1)*$D25/$E25</x:f>
        <x:v>0</x:v>
      </x:c>
      <x:c r="R25" s="40" t="n">
        <x:f>MAX(0,MIN($G25,55)-MAX($F25,51)+1)*$D25/$E25</x:f>
        <x:v>0</x:v>
      </x:c>
      <x:c r="S25" s="40" t="n">
        <x:f>MAX(0,MIN($G25,60)-MAX($F25,56)+1)*$D25/$E25</x:f>
        <x:v>0</x:v>
      </x:c>
      <x:c r="T25" s="40" t="n">
        <x:f>MAX(0,MIN($G25,65)-MAX($F25,61)+1)*$D25/$E25</x:f>
        <x:v>0</x:v>
      </x:c>
      <x:c r="U25" s="40" t="n">
        <x:f>MAX(0,MIN($G25,70)-MAX($F25,66)+1)*$D25/$E25</x:f>
        <x:v>0</x:v>
      </x:c>
      <x:c r="V25" s="40" t="n">
        <x:f>MAX(0,MIN($G25,75)-MAX($F25,71)+1)*$D25/$E25</x:f>
        <x:v>0</x:v>
      </x:c>
      <x:c r="W25" s="40" t="n">
        <x:f>MAX(0,MIN($G25,80)-MAX($F25,76)+1)*$D25/$E25</x:f>
        <x:v>0</x:v>
      </x:c>
      <x:c r="X25" s="40" t="n">
        <x:f>MAX(0,MIN($G25,85)-MAX($F25,81)+1)*$D25/$E25</x:f>
        <x:v>0</x:v>
      </x:c>
      <x:c r="Y25" s="40" t="n">
        <x:f>MAX(0,MIN($G25,90)-MAX($F25,86)+1)*$D25/$E25</x:f>
        <x:v>0</x:v>
      </x:c>
      <x:c r="Z25" s="40" t="n">
        <x:f>MAX(0,MIN($G25,95)-MAX($F25,91)+1)*$D25/$E25</x:f>
        <x:v>0</x:v>
      </x:c>
      <x:c r="AA25" s="40" t="n">
        <x:f>MAX(0,MIN($G25,100)-MAX($F25,96)+1)*$D25/$E25</x:f>
        <x:v>0</x:v>
      </x:c>
      <x:c r="AB25" s="40" t="n">
        <x:f>MAX(0,MIN($G25,105)-MAX($F25,101)+1)*$D25/$E25</x:f>
        <x:v>0</x:v>
      </x:c>
      <x:c r="AC25" s="40" t="n">
        <x:f>MAX(0,MIN($G25,110)-MAX($F25,106)+1)*$D25/$E25</x:f>
        <x:v>0</x:v>
      </x:c>
      <x:c r="AD25" s="40" t="n">
        <x:f>MAX(0,MIN($G25,115)-MAX($F25,111)+1)*$D25/$E25</x:f>
        <x:v>0</x:v>
      </x:c>
      <x:c r="AE25" s="40" t="n">
        <x:f>MAX(0,MIN($G25,120)-MAX($F25,116)+1)*$D25/$E25</x:f>
        <x:v>0</x:v>
      </x:c>
      <x:c r="AF25" s="40" t="n">
        <x:f>MAX(0,MIN($G25,125)-MAX($F25,121)+1)*$D25/$E25</x:f>
        <x:v>0</x:v>
      </x:c>
      <x:c r="AG25" s="40" t="n">
        <x:f>MAX(0,MIN($G25,130)-MAX($F25,126)+1)*$D25/$E25</x:f>
        <x:v>0</x:v>
      </x:c>
      <x:c r="AH25" s="40" t="n">
        <x:f>MAX(0,MIN($G25,135)-MAX($F25,131)+1)*$D25/$E25</x:f>
        <x:v>0</x:v>
      </x:c>
      <x:c r="AI25" s="40" t="n">
        <x:f>MAX(0,MIN($G25,140)-MAX($F25,136)+1)*$D25/$E25</x:f>
        <x:v>0</x:v>
      </x:c>
      <x:c r="AJ25" s="40" t="n">
        <x:f>MAX(0,MIN($G25,145)-MAX($F25,141)+1)*$D25/$E25</x:f>
        <x:v>0</x:v>
      </x:c>
      <x:c r="AK25" s="40" t="n">
        <x:f>MAX(0,MIN($G25,150)-MAX($F25,146)+1)*$D25/$E25</x:f>
        <x:v>0</x:v>
      </x:c>
      <x:c r="AL25" s="40" t="n">
        <x:f>MAX(0,MIN($G25,155)-MAX($F25,151)+1)*$D25/$E25</x:f>
        <x:v>0</x:v>
      </x:c>
      <x:c r="AM25" s="40" t="n">
        <x:f>MAX(0,MIN($G25,160)-MAX($F25,156)+1)*$D25/$E25</x:f>
        <x:v>0</x:v>
      </x:c>
      <x:c r="AN25" s="40" t="n">
        <x:f>MAX(0,MIN($G25,165)-MAX($F25,161)+1)*$D25/$E25</x:f>
        <x:v>0</x:v>
      </x:c>
      <x:c r="AO25" s="40" t="n">
        <x:f>MAX(0,MIN($G25,170)-MAX($F25,166)+1)*$D25/$E25</x:f>
        <x:v>0</x:v>
      </x:c>
      <x:c r="AP25" s="40" t="n">
        <x:f>MAX(0,MIN($G25,175)-MAX($F25,171)+1)*$D25/$E25</x:f>
        <x:v>0</x:v>
      </x:c>
      <x:c r="AQ25" s="40" t="n">
        <x:f>MAX(0,MIN($G25,180)-MAX($F25,176)+1)*$D25/$E25</x:f>
        <x:v>0</x:v>
      </x:c>
    </x:row>
    <x:row r="26" ht="27" customHeight="1">
      <x:c r="A26" s="10" t="str">
        <x:v>A04</x:v>
      </x:c>
      <x:c r="B26" s="10" t="str">
        <x:f>'Tasks'!D16</x:f>
        <x:v>KE</x:v>
      </x:c>
      <x:c r="C26" s="10" t="str">
        <x:v>Owner</x:v>
      </x:c>
      <x:c r="D26" s="39" t="n">
        <x:f>'Tasks'!O16</x:f>
        <x:v>18</x:v>
      </x:c>
      <x:c r="E26" s="39" t="n">
        <x:f>'Tasks'!F16</x:f>
        <x:v>3</x:v>
      </x:c>
      <x:c r="F26" s="39" t="n">
        <x:f>'Tasks'!K16</x:f>
        <x:v>2</x:v>
      </x:c>
      <x:c r="G26" s="39" t="n">
        <x:f>'Tasks'!L16</x:f>
        <x:v>4</x:v>
      </x:c>
      <x:c r="H26" s="39" t="n">
        <x:f>MAX(0,MIN($G26,5)-MAX($F26,1)+1)*$D26/$E26</x:f>
        <x:v>18</x:v>
      </x:c>
      <x:c r="I26" s="39" t="n">
        <x:f>MAX(0,MIN($G26,10)-MAX($F26,6)+1)*$D26/$E26</x:f>
        <x:v>0</x:v>
      </x:c>
      <x:c r="J26" s="39" t="n">
        <x:f>MAX(0,MIN($G26,15)-MAX($F26,11)+1)*$D26/$E26</x:f>
        <x:v>0</x:v>
      </x:c>
      <x:c r="K26" s="39" t="n">
        <x:f>MAX(0,MIN($G26,20)-MAX($F26,16)+1)*$D26/$E26</x:f>
        <x:v>0</x:v>
      </x:c>
      <x:c r="L26" s="39" t="n">
        <x:f>MAX(0,MIN($G26,25)-MAX($F26,21)+1)*$D26/$E26</x:f>
        <x:v>0</x:v>
      </x:c>
      <x:c r="M26" s="39" t="n">
        <x:f>MAX(0,MIN($G26,30)-MAX($F26,26)+1)*$D26/$E26</x:f>
        <x:v>0</x:v>
      </x:c>
      <x:c r="N26" s="39" t="n">
        <x:f>MAX(0,MIN($G26,35)-MAX($F26,31)+1)*$D26/$E26</x:f>
        <x:v>0</x:v>
      </x:c>
      <x:c r="O26" s="39" t="n">
        <x:f>MAX(0,MIN($G26,40)-MAX($F26,36)+1)*$D26/$E26</x:f>
        <x:v>0</x:v>
      </x:c>
      <x:c r="P26" s="39" t="n">
        <x:f>MAX(0,MIN($G26,45)-MAX($F26,41)+1)*$D26/$E26</x:f>
        <x:v>0</x:v>
      </x:c>
      <x:c r="Q26" s="39" t="n">
        <x:f>MAX(0,MIN($G26,50)-MAX($F26,46)+1)*$D26/$E26</x:f>
        <x:v>0</x:v>
      </x:c>
      <x:c r="R26" s="39" t="n">
        <x:f>MAX(0,MIN($G26,55)-MAX($F26,51)+1)*$D26/$E26</x:f>
        <x:v>0</x:v>
      </x:c>
      <x:c r="S26" s="39" t="n">
        <x:f>MAX(0,MIN($G26,60)-MAX($F26,56)+1)*$D26/$E26</x:f>
        <x:v>0</x:v>
      </x:c>
      <x:c r="T26" s="39" t="n">
        <x:f>MAX(0,MIN($G26,65)-MAX($F26,61)+1)*$D26/$E26</x:f>
        <x:v>0</x:v>
      </x:c>
      <x:c r="U26" s="39" t="n">
        <x:f>MAX(0,MIN($G26,70)-MAX($F26,66)+1)*$D26/$E26</x:f>
        <x:v>0</x:v>
      </x:c>
      <x:c r="V26" s="39" t="n">
        <x:f>MAX(0,MIN($G26,75)-MAX($F26,71)+1)*$D26/$E26</x:f>
        <x:v>0</x:v>
      </x:c>
      <x:c r="W26" s="39" t="n">
        <x:f>MAX(0,MIN($G26,80)-MAX($F26,76)+1)*$D26/$E26</x:f>
        <x:v>0</x:v>
      </x:c>
      <x:c r="X26" s="39" t="n">
        <x:f>MAX(0,MIN($G26,85)-MAX($F26,81)+1)*$D26/$E26</x:f>
        <x:v>0</x:v>
      </x:c>
      <x:c r="Y26" s="39" t="n">
        <x:f>MAX(0,MIN($G26,90)-MAX($F26,86)+1)*$D26/$E26</x:f>
        <x:v>0</x:v>
      </x:c>
      <x:c r="Z26" s="39" t="n">
        <x:f>MAX(0,MIN($G26,95)-MAX($F26,91)+1)*$D26/$E26</x:f>
        <x:v>0</x:v>
      </x:c>
      <x:c r="AA26" s="39" t="n">
        <x:f>MAX(0,MIN($G26,100)-MAX($F26,96)+1)*$D26/$E26</x:f>
        <x:v>0</x:v>
      </x:c>
      <x:c r="AB26" s="39" t="n">
        <x:f>MAX(0,MIN($G26,105)-MAX($F26,101)+1)*$D26/$E26</x:f>
        <x:v>0</x:v>
      </x:c>
      <x:c r="AC26" s="39" t="n">
        <x:f>MAX(0,MIN($G26,110)-MAX($F26,106)+1)*$D26/$E26</x:f>
        <x:v>0</x:v>
      </x:c>
      <x:c r="AD26" s="39" t="n">
        <x:f>MAX(0,MIN($G26,115)-MAX($F26,111)+1)*$D26/$E26</x:f>
        <x:v>0</x:v>
      </x:c>
      <x:c r="AE26" s="39" t="n">
        <x:f>MAX(0,MIN($G26,120)-MAX($F26,116)+1)*$D26/$E26</x:f>
        <x:v>0</x:v>
      </x:c>
      <x:c r="AF26" s="39" t="n">
        <x:f>MAX(0,MIN($G26,125)-MAX($F26,121)+1)*$D26/$E26</x:f>
        <x:v>0</x:v>
      </x:c>
      <x:c r="AG26" s="39" t="n">
        <x:f>MAX(0,MIN($G26,130)-MAX($F26,126)+1)*$D26/$E26</x:f>
        <x:v>0</x:v>
      </x:c>
      <x:c r="AH26" s="39" t="n">
        <x:f>MAX(0,MIN($G26,135)-MAX($F26,131)+1)*$D26/$E26</x:f>
        <x:v>0</x:v>
      </x:c>
      <x:c r="AI26" s="39" t="n">
        <x:f>MAX(0,MIN($G26,140)-MAX($F26,136)+1)*$D26/$E26</x:f>
        <x:v>0</x:v>
      </x:c>
      <x:c r="AJ26" s="39" t="n">
        <x:f>MAX(0,MIN($G26,145)-MAX($F26,141)+1)*$D26/$E26</x:f>
        <x:v>0</x:v>
      </x:c>
      <x:c r="AK26" s="39" t="n">
        <x:f>MAX(0,MIN($G26,150)-MAX($F26,146)+1)*$D26/$E26</x:f>
        <x:v>0</x:v>
      </x:c>
      <x:c r="AL26" s="39" t="n">
        <x:f>MAX(0,MIN($G26,155)-MAX($F26,151)+1)*$D26/$E26</x:f>
        <x:v>0</x:v>
      </x:c>
      <x:c r="AM26" s="39" t="n">
        <x:f>MAX(0,MIN($G26,160)-MAX($F26,156)+1)*$D26/$E26</x:f>
        <x:v>0</x:v>
      </x:c>
      <x:c r="AN26" s="39" t="n">
        <x:f>MAX(0,MIN($G26,165)-MAX($F26,161)+1)*$D26/$E26</x:f>
        <x:v>0</x:v>
      </x:c>
      <x:c r="AO26" s="39" t="n">
        <x:f>MAX(0,MIN($G26,170)-MAX($F26,166)+1)*$D26/$E26</x:f>
        <x:v>0</x:v>
      </x:c>
      <x:c r="AP26" s="39" t="n">
        <x:f>MAX(0,MIN($G26,175)-MAX($F26,171)+1)*$D26/$E26</x:f>
        <x:v>0</x:v>
      </x:c>
      <x:c r="AQ26" s="39" t="n">
        <x:f>MAX(0,MIN($G26,180)-MAX($F26,176)+1)*$D26/$E26</x:f>
        <x:v>0</x:v>
      </x:c>
    </x:row>
    <x:row r="27" ht="27" customHeight="1">
      <x:c r="A27" s="9" t="str">
        <x:v>A04</x:v>
      </x:c>
      <x:c r="B27" s="9" t="str">
        <x:f>'Tasks'!P16</x:f>
        <x:v>MD</x:v>
      </x:c>
      <x:c r="C27" s="9" t="str">
        <x:v>Review</x:v>
      </x:c>
      <x:c r="D27" s="40" t="n">
        <x:f>'Tasks'!Q16</x:f>
        <x:v>3</x:v>
      </x:c>
      <x:c r="E27" s="40" t="n">
        <x:f>'Tasks'!F16</x:f>
        <x:v>3</x:v>
      </x:c>
      <x:c r="F27" s="40" t="n">
        <x:f>'Tasks'!K16</x:f>
        <x:v>2</x:v>
      </x:c>
      <x:c r="G27" s="40" t="n">
        <x:f>'Tasks'!L16</x:f>
        <x:v>4</x:v>
      </x:c>
      <x:c r="H27" s="40" t="n">
        <x:f>MAX(0,MIN($G27,5)-MAX($F27,1)+1)*$D27/$E27</x:f>
        <x:v>3</x:v>
      </x:c>
      <x:c r="I27" s="40" t="n">
        <x:f>MAX(0,MIN($G27,10)-MAX($F27,6)+1)*$D27/$E27</x:f>
        <x:v>0</x:v>
      </x:c>
      <x:c r="J27" s="40" t="n">
        <x:f>MAX(0,MIN($G27,15)-MAX($F27,11)+1)*$D27/$E27</x:f>
        <x:v>0</x:v>
      </x:c>
      <x:c r="K27" s="40" t="n">
        <x:f>MAX(0,MIN($G27,20)-MAX($F27,16)+1)*$D27/$E27</x:f>
        <x:v>0</x:v>
      </x:c>
      <x:c r="L27" s="40" t="n">
        <x:f>MAX(0,MIN($G27,25)-MAX($F27,21)+1)*$D27/$E27</x:f>
        <x:v>0</x:v>
      </x:c>
      <x:c r="M27" s="40" t="n">
        <x:f>MAX(0,MIN($G27,30)-MAX($F27,26)+1)*$D27/$E27</x:f>
        <x:v>0</x:v>
      </x:c>
      <x:c r="N27" s="40" t="n">
        <x:f>MAX(0,MIN($G27,35)-MAX($F27,31)+1)*$D27/$E27</x:f>
        <x:v>0</x:v>
      </x:c>
      <x:c r="O27" s="40" t="n">
        <x:f>MAX(0,MIN($G27,40)-MAX($F27,36)+1)*$D27/$E27</x:f>
        <x:v>0</x:v>
      </x:c>
      <x:c r="P27" s="40" t="n">
        <x:f>MAX(0,MIN($G27,45)-MAX($F27,41)+1)*$D27/$E27</x:f>
        <x:v>0</x:v>
      </x:c>
      <x:c r="Q27" s="40" t="n">
        <x:f>MAX(0,MIN($G27,50)-MAX($F27,46)+1)*$D27/$E27</x:f>
        <x:v>0</x:v>
      </x:c>
      <x:c r="R27" s="40" t="n">
        <x:f>MAX(0,MIN($G27,55)-MAX($F27,51)+1)*$D27/$E27</x:f>
        <x:v>0</x:v>
      </x:c>
      <x:c r="S27" s="40" t="n">
        <x:f>MAX(0,MIN($G27,60)-MAX($F27,56)+1)*$D27/$E27</x:f>
        <x:v>0</x:v>
      </x:c>
      <x:c r="T27" s="40" t="n">
        <x:f>MAX(0,MIN($G27,65)-MAX($F27,61)+1)*$D27/$E27</x:f>
        <x:v>0</x:v>
      </x:c>
      <x:c r="U27" s="40" t="n">
        <x:f>MAX(0,MIN($G27,70)-MAX($F27,66)+1)*$D27/$E27</x:f>
        <x:v>0</x:v>
      </x:c>
      <x:c r="V27" s="40" t="n">
        <x:f>MAX(0,MIN($G27,75)-MAX($F27,71)+1)*$D27/$E27</x:f>
        <x:v>0</x:v>
      </x:c>
      <x:c r="W27" s="40" t="n">
        <x:f>MAX(0,MIN($G27,80)-MAX($F27,76)+1)*$D27/$E27</x:f>
        <x:v>0</x:v>
      </x:c>
      <x:c r="X27" s="40" t="n">
        <x:f>MAX(0,MIN($G27,85)-MAX($F27,81)+1)*$D27/$E27</x:f>
        <x:v>0</x:v>
      </x:c>
      <x:c r="Y27" s="40" t="n">
        <x:f>MAX(0,MIN($G27,90)-MAX($F27,86)+1)*$D27/$E27</x:f>
        <x:v>0</x:v>
      </x:c>
      <x:c r="Z27" s="40" t="n">
        <x:f>MAX(0,MIN($G27,95)-MAX($F27,91)+1)*$D27/$E27</x:f>
        <x:v>0</x:v>
      </x:c>
      <x:c r="AA27" s="40" t="n">
        <x:f>MAX(0,MIN($G27,100)-MAX($F27,96)+1)*$D27/$E27</x:f>
        <x:v>0</x:v>
      </x:c>
      <x:c r="AB27" s="40" t="n">
        <x:f>MAX(0,MIN($G27,105)-MAX($F27,101)+1)*$D27/$E27</x:f>
        <x:v>0</x:v>
      </x:c>
      <x:c r="AC27" s="40" t="n">
        <x:f>MAX(0,MIN($G27,110)-MAX($F27,106)+1)*$D27/$E27</x:f>
        <x:v>0</x:v>
      </x:c>
      <x:c r="AD27" s="40" t="n">
        <x:f>MAX(0,MIN($G27,115)-MAX($F27,111)+1)*$D27/$E27</x:f>
        <x:v>0</x:v>
      </x:c>
      <x:c r="AE27" s="40" t="n">
        <x:f>MAX(0,MIN($G27,120)-MAX($F27,116)+1)*$D27/$E27</x:f>
        <x:v>0</x:v>
      </x:c>
      <x:c r="AF27" s="40" t="n">
        <x:f>MAX(0,MIN($G27,125)-MAX($F27,121)+1)*$D27/$E27</x:f>
        <x:v>0</x:v>
      </x:c>
      <x:c r="AG27" s="40" t="n">
        <x:f>MAX(0,MIN($G27,130)-MAX($F27,126)+1)*$D27/$E27</x:f>
        <x:v>0</x:v>
      </x:c>
      <x:c r="AH27" s="40" t="n">
        <x:f>MAX(0,MIN($G27,135)-MAX($F27,131)+1)*$D27/$E27</x:f>
        <x:v>0</x:v>
      </x:c>
      <x:c r="AI27" s="40" t="n">
        <x:f>MAX(0,MIN($G27,140)-MAX($F27,136)+1)*$D27/$E27</x:f>
        <x:v>0</x:v>
      </x:c>
      <x:c r="AJ27" s="40" t="n">
        <x:f>MAX(0,MIN($G27,145)-MAX($F27,141)+1)*$D27/$E27</x:f>
        <x:v>0</x:v>
      </x:c>
      <x:c r="AK27" s="40" t="n">
        <x:f>MAX(0,MIN($G27,150)-MAX($F27,146)+1)*$D27/$E27</x:f>
        <x:v>0</x:v>
      </x:c>
      <x:c r="AL27" s="40" t="n">
        <x:f>MAX(0,MIN($G27,155)-MAX($F27,151)+1)*$D27/$E27</x:f>
        <x:v>0</x:v>
      </x:c>
      <x:c r="AM27" s="40" t="n">
        <x:f>MAX(0,MIN($G27,160)-MAX($F27,156)+1)*$D27/$E27</x:f>
        <x:v>0</x:v>
      </x:c>
      <x:c r="AN27" s="40" t="n">
        <x:f>MAX(0,MIN($G27,165)-MAX($F27,161)+1)*$D27/$E27</x:f>
        <x:v>0</x:v>
      </x:c>
      <x:c r="AO27" s="40" t="n">
        <x:f>MAX(0,MIN($G27,170)-MAX($F27,166)+1)*$D27/$E27</x:f>
        <x:v>0</x:v>
      </x:c>
      <x:c r="AP27" s="40" t="n">
        <x:f>MAX(0,MIN($G27,175)-MAX($F27,171)+1)*$D27/$E27</x:f>
        <x:v>0</x:v>
      </x:c>
      <x:c r="AQ27" s="40" t="n">
        <x:f>MAX(0,MIN($G27,180)-MAX($F27,176)+1)*$D27/$E27</x:f>
        <x:v>0</x:v>
      </x:c>
    </x:row>
    <x:row r="28" ht="27" customHeight="1">
      <x:c r="A28" s="10" t="str">
        <x:v>A05</x:v>
      </x:c>
      <x:c r="B28" s="10" t="str">
        <x:f>'Tasks'!D17</x:f>
        <x:v>MD</x:v>
      </x:c>
      <x:c r="C28" s="10" t="str">
        <x:v>Owner</x:v>
      </x:c>
      <x:c r="D28" s="39" t="n">
        <x:f>'Tasks'!O17</x:f>
        <x:v>20</x:v>
      </x:c>
      <x:c r="E28" s="39" t="n">
        <x:f>'Tasks'!F17</x:f>
        <x:v>5</x:v>
      </x:c>
      <x:c r="F28" s="39" t="n">
        <x:f>'Tasks'!K17</x:f>
        <x:v>5</x:v>
      </x:c>
      <x:c r="G28" s="39" t="n">
        <x:f>'Tasks'!L17</x:f>
        <x:v>9</x:v>
      </x:c>
      <x:c r="H28" s="39" t="n">
        <x:f>MAX(0,MIN($G28,5)-MAX($F28,1)+1)*$D28/$E28</x:f>
        <x:v>4</x:v>
      </x:c>
      <x:c r="I28" s="39" t="n">
        <x:f>MAX(0,MIN($G28,10)-MAX($F28,6)+1)*$D28/$E28</x:f>
        <x:v>16</x:v>
      </x:c>
      <x:c r="J28" s="39" t="n">
        <x:f>MAX(0,MIN($G28,15)-MAX($F28,11)+1)*$D28/$E28</x:f>
        <x:v>0</x:v>
      </x:c>
      <x:c r="K28" s="39" t="n">
        <x:f>MAX(0,MIN($G28,20)-MAX($F28,16)+1)*$D28/$E28</x:f>
        <x:v>0</x:v>
      </x:c>
      <x:c r="L28" s="39" t="n">
        <x:f>MAX(0,MIN($G28,25)-MAX($F28,21)+1)*$D28/$E28</x:f>
        <x:v>0</x:v>
      </x:c>
      <x:c r="M28" s="39" t="n">
        <x:f>MAX(0,MIN($G28,30)-MAX($F28,26)+1)*$D28/$E28</x:f>
        <x:v>0</x:v>
      </x:c>
      <x:c r="N28" s="39" t="n">
        <x:f>MAX(0,MIN($G28,35)-MAX($F28,31)+1)*$D28/$E28</x:f>
        <x:v>0</x:v>
      </x:c>
      <x:c r="O28" s="39" t="n">
        <x:f>MAX(0,MIN($G28,40)-MAX($F28,36)+1)*$D28/$E28</x:f>
        <x:v>0</x:v>
      </x:c>
      <x:c r="P28" s="39" t="n">
        <x:f>MAX(0,MIN($G28,45)-MAX($F28,41)+1)*$D28/$E28</x:f>
        <x:v>0</x:v>
      </x:c>
      <x:c r="Q28" s="39" t="n">
        <x:f>MAX(0,MIN($G28,50)-MAX($F28,46)+1)*$D28/$E28</x:f>
        <x:v>0</x:v>
      </x:c>
      <x:c r="R28" s="39" t="n">
        <x:f>MAX(0,MIN($G28,55)-MAX($F28,51)+1)*$D28/$E28</x:f>
        <x:v>0</x:v>
      </x:c>
      <x:c r="S28" s="39" t="n">
        <x:f>MAX(0,MIN($G28,60)-MAX($F28,56)+1)*$D28/$E28</x:f>
        <x:v>0</x:v>
      </x:c>
      <x:c r="T28" s="39" t="n">
        <x:f>MAX(0,MIN($G28,65)-MAX($F28,61)+1)*$D28/$E28</x:f>
        <x:v>0</x:v>
      </x:c>
      <x:c r="U28" s="39" t="n">
        <x:f>MAX(0,MIN($G28,70)-MAX($F28,66)+1)*$D28/$E28</x:f>
        <x:v>0</x:v>
      </x:c>
      <x:c r="V28" s="39" t="n">
        <x:f>MAX(0,MIN($G28,75)-MAX($F28,71)+1)*$D28/$E28</x:f>
        <x:v>0</x:v>
      </x:c>
      <x:c r="W28" s="39" t="n">
        <x:f>MAX(0,MIN($G28,80)-MAX($F28,76)+1)*$D28/$E28</x:f>
        <x:v>0</x:v>
      </x:c>
      <x:c r="X28" s="39" t="n">
        <x:f>MAX(0,MIN($G28,85)-MAX($F28,81)+1)*$D28/$E28</x:f>
        <x:v>0</x:v>
      </x:c>
      <x:c r="Y28" s="39" t="n">
        <x:f>MAX(0,MIN($G28,90)-MAX($F28,86)+1)*$D28/$E28</x:f>
        <x:v>0</x:v>
      </x:c>
      <x:c r="Z28" s="39" t="n">
        <x:f>MAX(0,MIN($G28,95)-MAX($F28,91)+1)*$D28/$E28</x:f>
        <x:v>0</x:v>
      </x:c>
      <x:c r="AA28" s="39" t="n">
        <x:f>MAX(0,MIN($G28,100)-MAX($F28,96)+1)*$D28/$E28</x:f>
        <x:v>0</x:v>
      </x:c>
      <x:c r="AB28" s="39" t="n">
        <x:f>MAX(0,MIN($G28,105)-MAX($F28,101)+1)*$D28/$E28</x:f>
        <x:v>0</x:v>
      </x:c>
      <x:c r="AC28" s="39" t="n">
        <x:f>MAX(0,MIN($G28,110)-MAX($F28,106)+1)*$D28/$E28</x:f>
        <x:v>0</x:v>
      </x:c>
      <x:c r="AD28" s="39" t="n">
        <x:f>MAX(0,MIN($G28,115)-MAX($F28,111)+1)*$D28/$E28</x:f>
        <x:v>0</x:v>
      </x:c>
      <x:c r="AE28" s="39" t="n">
        <x:f>MAX(0,MIN($G28,120)-MAX($F28,116)+1)*$D28/$E28</x:f>
        <x:v>0</x:v>
      </x:c>
      <x:c r="AF28" s="39" t="n">
        <x:f>MAX(0,MIN($G28,125)-MAX($F28,121)+1)*$D28/$E28</x:f>
        <x:v>0</x:v>
      </x:c>
      <x:c r="AG28" s="39" t="n">
        <x:f>MAX(0,MIN($G28,130)-MAX($F28,126)+1)*$D28/$E28</x:f>
        <x:v>0</x:v>
      </x:c>
      <x:c r="AH28" s="39" t="n">
        <x:f>MAX(0,MIN($G28,135)-MAX($F28,131)+1)*$D28/$E28</x:f>
        <x:v>0</x:v>
      </x:c>
      <x:c r="AI28" s="39" t="n">
        <x:f>MAX(0,MIN($G28,140)-MAX($F28,136)+1)*$D28/$E28</x:f>
        <x:v>0</x:v>
      </x:c>
      <x:c r="AJ28" s="39" t="n">
        <x:f>MAX(0,MIN($G28,145)-MAX($F28,141)+1)*$D28/$E28</x:f>
        <x:v>0</x:v>
      </x:c>
      <x:c r="AK28" s="39" t="n">
        <x:f>MAX(0,MIN($G28,150)-MAX($F28,146)+1)*$D28/$E28</x:f>
        <x:v>0</x:v>
      </x:c>
      <x:c r="AL28" s="39" t="n">
        <x:f>MAX(0,MIN($G28,155)-MAX($F28,151)+1)*$D28/$E28</x:f>
        <x:v>0</x:v>
      </x:c>
      <x:c r="AM28" s="39" t="n">
        <x:f>MAX(0,MIN($G28,160)-MAX($F28,156)+1)*$D28/$E28</x:f>
        <x:v>0</x:v>
      </x:c>
      <x:c r="AN28" s="39" t="n">
        <x:f>MAX(0,MIN($G28,165)-MAX($F28,161)+1)*$D28/$E28</x:f>
        <x:v>0</x:v>
      </x:c>
      <x:c r="AO28" s="39" t="n">
        <x:f>MAX(0,MIN($G28,170)-MAX($F28,166)+1)*$D28/$E28</x:f>
        <x:v>0</x:v>
      </x:c>
      <x:c r="AP28" s="39" t="n">
        <x:f>MAX(0,MIN($G28,175)-MAX($F28,171)+1)*$D28/$E28</x:f>
        <x:v>0</x:v>
      </x:c>
      <x:c r="AQ28" s="39" t="n">
        <x:f>MAX(0,MIN($G28,180)-MAX($F28,176)+1)*$D28/$E28</x:f>
        <x:v>0</x:v>
      </x:c>
    </x:row>
    <x:row r="29" ht="27" customHeight="1">
      <x:c r="A29" s="9" t="str">
        <x:v>A05</x:v>
      </x:c>
      <x:c r="B29" s="9" t="str">
        <x:f>'Tasks'!P17</x:f>
        <x:v>SEC</x:v>
      </x:c>
      <x:c r="C29" s="9" t="str">
        <x:v>Review</x:v>
      </x:c>
      <x:c r="D29" s="40" t="n">
        <x:f>'Tasks'!Q17</x:f>
        <x:v>8</x:v>
      </x:c>
      <x:c r="E29" s="40" t="n">
        <x:f>'Tasks'!F17</x:f>
        <x:v>5</x:v>
      </x:c>
      <x:c r="F29" s="40" t="n">
        <x:f>'Tasks'!K17</x:f>
        <x:v>5</x:v>
      </x:c>
      <x:c r="G29" s="40" t="n">
        <x:f>'Tasks'!L17</x:f>
        <x:v>9</x:v>
      </x:c>
      <x:c r="H29" s="40" t="n">
        <x:f>MAX(0,MIN($G29,5)-MAX($F29,1)+1)*$D29/$E29</x:f>
        <x:v>1.6</x:v>
      </x:c>
      <x:c r="I29" s="40" t="n">
        <x:f>MAX(0,MIN($G29,10)-MAX($F29,6)+1)*$D29/$E29</x:f>
        <x:v>6.4</x:v>
      </x:c>
      <x:c r="J29" s="40" t="n">
        <x:f>MAX(0,MIN($G29,15)-MAX($F29,11)+1)*$D29/$E29</x:f>
        <x:v>0</x:v>
      </x:c>
      <x:c r="K29" s="40" t="n">
        <x:f>MAX(0,MIN($G29,20)-MAX($F29,16)+1)*$D29/$E29</x:f>
        <x:v>0</x:v>
      </x:c>
      <x:c r="L29" s="40" t="n">
        <x:f>MAX(0,MIN($G29,25)-MAX($F29,21)+1)*$D29/$E29</x:f>
        <x:v>0</x:v>
      </x:c>
      <x:c r="M29" s="40" t="n">
        <x:f>MAX(0,MIN($G29,30)-MAX($F29,26)+1)*$D29/$E29</x:f>
        <x:v>0</x:v>
      </x:c>
      <x:c r="N29" s="40" t="n">
        <x:f>MAX(0,MIN($G29,35)-MAX($F29,31)+1)*$D29/$E29</x:f>
        <x:v>0</x:v>
      </x:c>
      <x:c r="O29" s="40" t="n">
        <x:f>MAX(0,MIN($G29,40)-MAX($F29,36)+1)*$D29/$E29</x:f>
        <x:v>0</x:v>
      </x:c>
      <x:c r="P29" s="40" t="n">
        <x:f>MAX(0,MIN($G29,45)-MAX($F29,41)+1)*$D29/$E29</x:f>
        <x:v>0</x:v>
      </x:c>
      <x:c r="Q29" s="40" t="n">
        <x:f>MAX(0,MIN($G29,50)-MAX($F29,46)+1)*$D29/$E29</x:f>
        <x:v>0</x:v>
      </x:c>
      <x:c r="R29" s="40" t="n">
        <x:f>MAX(0,MIN($G29,55)-MAX($F29,51)+1)*$D29/$E29</x:f>
        <x:v>0</x:v>
      </x:c>
      <x:c r="S29" s="40" t="n">
        <x:f>MAX(0,MIN($G29,60)-MAX($F29,56)+1)*$D29/$E29</x:f>
        <x:v>0</x:v>
      </x:c>
      <x:c r="T29" s="40" t="n">
        <x:f>MAX(0,MIN($G29,65)-MAX($F29,61)+1)*$D29/$E29</x:f>
        <x:v>0</x:v>
      </x:c>
      <x:c r="U29" s="40" t="n">
        <x:f>MAX(0,MIN($G29,70)-MAX($F29,66)+1)*$D29/$E29</x:f>
        <x:v>0</x:v>
      </x:c>
      <x:c r="V29" s="40" t="n">
        <x:f>MAX(0,MIN($G29,75)-MAX($F29,71)+1)*$D29/$E29</x:f>
        <x:v>0</x:v>
      </x:c>
      <x:c r="W29" s="40" t="n">
        <x:f>MAX(0,MIN($G29,80)-MAX($F29,76)+1)*$D29/$E29</x:f>
        <x:v>0</x:v>
      </x:c>
      <x:c r="X29" s="40" t="n">
        <x:f>MAX(0,MIN($G29,85)-MAX($F29,81)+1)*$D29/$E29</x:f>
        <x:v>0</x:v>
      </x:c>
      <x:c r="Y29" s="40" t="n">
        <x:f>MAX(0,MIN($G29,90)-MAX($F29,86)+1)*$D29/$E29</x:f>
        <x:v>0</x:v>
      </x:c>
      <x:c r="Z29" s="40" t="n">
        <x:f>MAX(0,MIN($G29,95)-MAX($F29,91)+1)*$D29/$E29</x:f>
        <x:v>0</x:v>
      </x:c>
      <x:c r="AA29" s="40" t="n">
        <x:f>MAX(0,MIN($G29,100)-MAX($F29,96)+1)*$D29/$E29</x:f>
        <x:v>0</x:v>
      </x:c>
      <x:c r="AB29" s="40" t="n">
        <x:f>MAX(0,MIN($G29,105)-MAX($F29,101)+1)*$D29/$E29</x:f>
        <x:v>0</x:v>
      </x:c>
      <x:c r="AC29" s="40" t="n">
        <x:f>MAX(0,MIN($G29,110)-MAX($F29,106)+1)*$D29/$E29</x:f>
        <x:v>0</x:v>
      </x:c>
      <x:c r="AD29" s="40" t="n">
        <x:f>MAX(0,MIN($G29,115)-MAX($F29,111)+1)*$D29/$E29</x:f>
        <x:v>0</x:v>
      </x:c>
      <x:c r="AE29" s="40" t="n">
        <x:f>MAX(0,MIN($G29,120)-MAX($F29,116)+1)*$D29/$E29</x:f>
        <x:v>0</x:v>
      </x:c>
      <x:c r="AF29" s="40" t="n">
        <x:f>MAX(0,MIN($G29,125)-MAX($F29,121)+1)*$D29/$E29</x:f>
        <x:v>0</x:v>
      </x:c>
      <x:c r="AG29" s="40" t="n">
        <x:f>MAX(0,MIN($G29,130)-MAX($F29,126)+1)*$D29/$E29</x:f>
        <x:v>0</x:v>
      </x:c>
      <x:c r="AH29" s="40" t="n">
        <x:f>MAX(0,MIN($G29,135)-MAX($F29,131)+1)*$D29/$E29</x:f>
        <x:v>0</x:v>
      </x:c>
      <x:c r="AI29" s="40" t="n">
        <x:f>MAX(0,MIN($G29,140)-MAX($F29,136)+1)*$D29/$E29</x:f>
        <x:v>0</x:v>
      </x:c>
      <x:c r="AJ29" s="40" t="n">
        <x:f>MAX(0,MIN($G29,145)-MAX($F29,141)+1)*$D29/$E29</x:f>
        <x:v>0</x:v>
      </x:c>
      <x:c r="AK29" s="40" t="n">
        <x:f>MAX(0,MIN($G29,150)-MAX($F29,146)+1)*$D29/$E29</x:f>
        <x:v>0</x:v>
      </x:c>
      <x:c r="AL29" s="40" t="n">
        <x:f>MAX(0,MIN($G29,155)-MAX($F29,151)+1)*$D29/$E29</x:f>
        <x:v>0</x:v>
      </x:c>
      <x:c r="AM29" s="40" t="n">
        <x:f>MAX(0,MIN($G29,160)-MAX($F29,156)+1)*$D29/$E29</x:f>
        <x:v>0</x:v>
      </x:c>
      <x:c r="AN29" s="40" t="n">
        <x:f>MAX(0,MIN($G29,165)-MAX($F29,161)+1)*$D29/$E29</x:f>
        <x:v>0</x:v>
      </x:c>
      <x:c r="AO29" s="40" t="n">
        <x:f>MAX(0,MIN($G29,170)-MAX($F29,166)+1)*$D29/$E29</x:f>
        <x:v>0</x:v>
      </x:c>
      <x:c r="AP29" s="40" t="n">
        <x:f>MAX(0,MIN($G29,175)-MAX($F29,171)+1)*$D29/$E29</x:f>
        <x:v>0</x:v>
      </x:c>
      <x:c r="AQ29" s="40" t="n">
        <x:f>MAX(0,MIN($G29,180)-MAX($F29,176)+1)*$D29/$E29</x:f>
        <x:v>0</x:v>
      </x:c>
    </x:row>
    <x:row r="30" ht="27" customHeight="1">
      <x:c r="A30" s="10" t="str">
        <x:v>A06</x:v>
      </x:c>
      <x:c r="B30" s="10" t="str">
        <x:f>'Tasks'!D18</x:f>
        <x:v>SEC</x:v>
      </x:c>
      <x:c r="C30" s="10" t="str">
        <x:v>Owner</x:v>
      </x:c>
      <x:c r="D30" s="39" t="n">
        <x:f>'Tasks'!O18</x:f>
        <x:v>24</x:v>
      </x:c>
      <x:c r="E30" s="39" t="n">
        <x:f>'Tasks'!F18</x:f>
        <x:v>5</x:v>
      </x:c>
      <x:c r="F30" s="39" t="n">
        <x:f>'Tasks'!K18</x:f>
        <x:v>4</x:v>
      </x:c>
      <x:c r="G30" s="39" t="n">
        <x:f>'Tasks'!L18</x:f>
        <x:v>8</x:v>
      </x:c>
      <x:c r="H30" s="39" t="n">
        <x:f>MAX(0,MIN($G30,5)-MAX($F30,1)+1)*$D30/$E30</x:f>
        <x:v>9.6</x:v>
      </x:c>
      <x:c r="I30" s="39" t="n">
        <x:f>MAX(0,MIN($G30,10)-MAX($F30,6)+1)*$D30/$E30</x:f>
        <x:v>14.4</x:v>
      </x:c>
      <x:c r="J30" s="39" t="n">
        <x:f>MAX(0,MIN($G30,15)-MAX($F30,11)+1)*$D30/$E30</x:f>
        <x:v>0</x:v>
      </x:c>
      <x:c r="K30" s="39" t="n">
        <x:f>MAX(0,MIN($G30,20)-MAX($F30,16)+1)*$D30/$E30</x:f>
        <x:v>0</x:v>
      </x:c>
      <x:c r="L30" s="39" t="n">
        <x:f>MAX(0,MIN($G30,25)-MAX($F30,21)+1)*$D30/$E30</x:f>
        <x:v>0</x:v>
      </x:c>
      <x:c r="M30" s="39" t="n">
        <x:f>MAX(0,MIN($G30,30)-MAX($F30,26)+1)*$D30/$E30</x:f>
        <x:v>0</x:v>
      </x:c>
      <x:c r="N30" s="39" t="n">
        <x:f>MAX(0,MIN($G30,35)-MAX($F30,31)+1)*$D30/$E30</x:f>
        <x:v>0</x:v>
      </x:c>
      <x:c r="O30" s="39" t="n">
        <x:f>MAX(0,MIN($G30,40)-MAX($F30,36)+1)*$D30/$E30</x:f>
        <x:v>0</x:v>
      </x:c>
      <x:c r="P30" s="39" t="n">
        <x:f>MAX(0,MIN($G30,45)-MAX($F30,41)+1)*$D30/$E30</x:f>
        <x:v>0</x:v>
      </x:c>
      <x:c r="Q30" s="39" t="n">
        <x:f>MAX(0,MIN($G30,50)-MAX($F30,46)+1)*$D30/$E30</x:f>
        <x:v>0</x:v>
      </x:c>
      <x:c r="R30" s="39" t="n">
        <x:f>MAX(0,MIN($G30,55)-MAX($F30,51)+1)*$D30/$E30</x:f>
        <x:v>0</x:v>
      </x:c>
      <x:c r="S30" s="39" t="n">
        <x:f>MAX(0,MIN($G30,60)-MAX($F30,56)+1)*$D30/$E30</x:f>
        <x:v>0</x:v>
      </x:c>
      <x:c r="T30" s="39" t="n">
        <x:f>MAX(0,MIN($G30,65)-MAX($F30,61)+1)*$D30/$E30</x:f>
        <x:v>0</x:v>
      </x:c>
      <x:c r="U30" s="39" t="n">
        <x:f>MAX(0,MIN($G30,70)-MAX($F30,66)+1)*$D30/$E30</x:f>
        <x:v>0</x:v>
      </x:c>
      <x:c r="V30" s="39" t="n">
        <x:f>MAX(0,MIN($G30,75)-MAX($F30,71)+1)*$D30/$E30</x:f>
        <x:v>0</x:v>
      </x:c>
      <x:c r="W30" s="39" t="n">
        <x:f>MAX(0,MIN($G30,80)-MAX($F30,76)+1)*$D30/$E30</x:f>
        <x:v>0</x:v>
      </x:c>
      <x:c r="X30" s="39" t="n">
        <x:f>MAX(0,MIN($G30,85)-MAX($F30,81)+1)*$D30/$E30</x:f>
        <x:v>0</x:v>
      </x:c>
      <x:c r="Y30" s="39" t="n">
        <x:f>MAX(0,MIN($G30,90)-MAX($F30,86)+1)*$D30/$E30</x:f>
        <x:v>0</x:v>
      </x:c>
      <x:c r="Z30" s="39" t="n">
        <x:f>MAX(0,MIN($G30,95)-MAX($F30,91)+1)*$D30/$E30</x:f>
        <x:v>0</x:v>
      </x:c>
      <x:c r="AA30" s="39" t="n">
        <x:f>MAX(0,MIN($G30,100)-MAX($F30,96)+1)*$D30/$E30</x:f>
        <x:v>0</x:v>
      </x:c>
      <x:c r="AB30" s="39" t="n">
        <x:f>MAX(0,MIN($G30,105)-MAX($F30,101)+1)*$D30/$E30</x:f>
        <x:v>0</x:v>
      </x:c>
      <x:c r="AC30" s="39" t="n">
        <x:f>MAX(0,MIN($G30,110)-MAX($F30,106)+1)*$D30/$E30</x:f>
        <x:v>0</x:v>
      </x:c>
      <x:c r="AD30" s="39" t="n">
        <x:f>MAX(0,MIN($G30,115)-MAX($F30,111)+1)*$D30/$E30</x:f>
        <x:v>0</x:v>
      </x:c>
      <x:c r="AE30" s="39" t="n">
        <x:f>MAX(0,MIN($G30,120)-MAX($F30,116)+1)*$D30/$E30</x:f>
        <x:v>0</x:v>
      </x:c>
      <x:c r="AF30" s="39" t="n">
        <x:f>MAX(0,MIN($G30,125)-MAX($F30,121)+1)*$D30/$E30</x:f>
        <x:v>0</x:v>
      </x:c>
      <x:c r="AG30" s="39" t="n">
        <x:f>MAX(0,MIN($G30,130)-MAX($F30,126)+1)*$D30/$E30</x:f>
        <x:v>0</x:v>
      </x:c>
      <x:c r="AH30" s="39" t="n">
        <x:f>MAX(0,MIN($G30,135)-MAX($F30,131)+1)*$D30/$E30</x:f>
        <x:v>0</x:v>
      </x:c>
      <x:c r="AI30" s="39" t="n">
        <x:f>MAX(0,MIN($G30,140)-MAX($F30,136)+1)*$D30/$E30</x:f>
        <x:v>0</x:v>
      </x:c>
      <x:c r="AJ30" s="39" t="n">
        <x:f>MAX(0,MIN($G30,145)-MAX($F30,141)+1)*$D30/$E30</x:f>
        <x:v>0</x:v>
      </x:c>
      <x:c r="AK30" s="39" t="n">
        <x:f>MAX(0,MIN($G30,150)-MAX($F30,146)+1)*$D30/$E30</x:f>
        <x:v>0</x:v>
      </x:c>
      <x:c r="AL30" s="39" t="n">
        <x:f>MAX(0,MIN($G30,155)-MAX($F30,151)+1)*$D30/$E30</x:f>
        <x:v>0</x:v>
      </x:c>
      <x:c r="AM30" s="39" t="n">
        <x:f>MAX(0,MIN($G30,160)-MAX($F30,156)+1)*$D30/$E30</x:f>
        <x:v>0</x:v>
      </x:c>
      <x:c r="AN30" s="39" t="n">
        <x:f>MAX(0,MIN($G30,165)-MAX($F30,161)+1)*$D30/$E30</x:f>
        <x:v>0</x:v>
      </x:c>
      <x:c r="AO30" s="39" t="n">
        <x:f>MAX(0,MIN($G30,170)-MAX($F30,166)+1)*$D30/$E30</x:f>
        <x:v>0</x:v>
      </x:c>
      <x:c r="AP30" s="39" t="n">
        <x:f>MAX(0,MIN($G30,175)-MAX($F30,171)+1)*$D30/$E30</x:f>
        <x:v>0</x:v>
      </x:c>
      <x:c r="AQ30" s="39" t="n">
        <x:f>MAX(0,MIN($G30,180)-MAX($F30,176)+1)*$D30/$E30</x:f>
        <x:v>0</x:v>
      </x:c>
    </x:row>
    <x:row r="31" ht="27" customHeight="1">
      <x:c r="A31" s="9" t="str">
        <x:v>A06</x:v>
      </x:c>
      <x:c r="B31" s="9" t="str">
        <x:f>'Tasks'!P18</x:f>
        <x:v>HP</x:v>
      </x:c>
      <x:c r="C31" s="9" t="str">
        <x:v>Review</x:v>
      </x:c>
      <x:c r="D31" s="40" t="n">
        <x:f>'Tasks'!Q18</x:f>
        <x:v>4</x:v>
      </x:c>
      <x:c r="E31" s="40" t="n">
        <x:f>'Tasks'!F18</x:f>
        <x:v>5</x:v>
      </x:c>
      <x:c r="F31" s="40" t="n">
        <x:f>'Tasks'!K18</x:f>
        <x:v>4</x:v>
      </x:c>
      <x:c r="G31" s="40" t="n">
        <x:f>'Tasks'!L18</x:f>
        <x:v>8</x:v>
      </x:c>
      <x:c r="H31" s="40" t="n">
        <x:f>MAX(0,MIN($G31,5)-MAX($F31,1)+1)*$D31/$E31</x:f>
        <x:v>1.6</x:v>
      </x:c>
      <x:c r="I31" s="40" t="n">
        <x:f>MAX(0,MIN($G31,10)-MAX($F31,6)+1)*$D31/$E31</x:f>
        <x:v>2.4</x:v>
      </x:c>
      <x:c r="J31" s="40" t="n">
        <x:f>MAX(0,MIN($G31,15)-MAX($F31,11)+1)*$D31/$E31</x:f>
        <x:v>0</x:v>
      </x:c>
      <x:c r="K31" s="40" t="n">
        <x:f>MAX(0,MIN($G31,20)-MAX($F31,16)+1)*$D31/$E31</x:f>
        <x:v>0</x:v>
      </x:c>
      <x:c r="L31" s="40" t="n">
        <x:f>MAX(0,MIN($G31,25)-MAX($F31,21)+1)*$D31/$E31</x:f>
        <x:v>0</x:v>
      </x:c>
      <x:c r="M31" s="40" t="n">
        <x:f>MAX(0,MIN($G31,30)-MAX($F31,26)+1)*$D31/$E31</x:f>
        <x:v>0</x:v>
      </x:c>
      <x:c r="N31" s="40" t="n">
        <x:f>MAX(0,MIN($G31,35)-MAX($F31,31)+1)*$D31/$E31</x:f>
        <x:v>0</x:v>
      </x:c>
      <x:c r="O31" s="40" t="n">
        <x:f>MAX(0,MIN($G31,40)-MAX($F31,36)+1)*$D31/$E31</x:f>
        <x:v>0</x:v>
      </x:c>
      <x:c r="P31" s="40" t="n">
        <x:f>MAX(0,MIN($G31,45)-MAX($F31,41)+1)*$D31/$E31</x:f>
        <x:v>0</x:v>
      </x:c>
      <x:c r="Q31" s="40" t="n">
        <x:f>MAX(0,MIN($G31,50)-MAX($F31,46)+1)*$D31/$E31</x:f>
        <x:v>0</x:v>
      </x:c>
      <x:c r="R31" s="40" t="n">
        <x:f>MAX(0,MIN($G31,55)-MAX($F31,51)+1)*$D31/$E31</x:f>
        <x:v>0</x:v>
      </x:c>
      <x:c r="S31" s="40" t="n">
        <x:f>MAX(0,MIN($G31,60)-MAX($F31,56)+1)*$D31/$E31</x:f>
        <x:v>0</x:v>
      </x:c>
      <x:c r="T31" s="40" t="n">
        <x:f>MAX(0,MIN($G31,65)-MAX($F31,61)+1)*$D31/$E31</x:f>
        <x:v>0</x:v>
      </x:c>
      <x:c r="U31" s="40" t="n">
        <x:f>MAX(0,MIN($G31,70)-MAX($F31,66)+1)*$D31/$E31</x:f>
        <x:v>0</x:v>
      </x:c>
      <x:c r="V31" s="40" t="n">
        <x:f>MAX(0,MIN($G31,75)-MAX($F31,71)+1)*$D31/$E31</x:f>
        <x:v>0</x:v>
      </x:c>
      <x:c r="W31" s="40" t="n">
        <x:f>MAX(0,MIN($G31,80)-MAX($F31,76)+1)*$D31/$E31</x:f>
        <x:v>0</x:v>
      </x:c>
      <x:c r="X31" s="40" t="n">
        <x:f>MAX(0,MIN($G31,85)-MAX($F31,81)+1)*$D31/$E31</x:f>
        <x:v>0</x:v>
      </x:c>
      <x:c r="Y31" s="40" t="n">
        <x:f>MAX(0,MIN($G31,90)-MAX($F31,86)+1)*$D31/$E31</x:f>
        <x:v>0</x:v>
      </x:c>
      <x:c r="Z31" s="40" t="n">
        <x:f>MAX(0,MIN($G31,95)-MAX($F31,91)+1)*$D31/$E31</x:f>
        <x:v>0</x:v>
      </x:c>
      <x:c r="AA31" s="40" t="n">
        <x:f>MAX(0,MIN($G31,100)-MAX($F31,96)+1)*$D31/$E31</x:f>
        <x:v>0</x:v>
      </x:c>
      <x:c r="AB31" s="40" t="n">
        <x:f>MAX(0,MIN($G31,105)-MAX($F31,101)+1)*$D31/$E31</x:f>
        <x:v>0</x:v>
      </x:c>
      <x:c r="AC31" s="40" t="n">
        <x:f>MAX(0,MIN($G31,110)-MAX($F31,106)+1)*$D31/$E31</x:f>
        <x:v>0</x:v>
      </x:c>
      <x:c r="AD31" s="40" t="n">
        <x:f>MAX(0,MIN($G31,115)-MAX($F31,111)+1)*$D31/$E31</x:f>
        <x:v>0</x:v>
      </x:c>
      <x:c r="AE31" s="40" t="n">
        <x:f>MAX(0,MIN($G31,120)-MAX($F31,116)+1)*$D31/$E31</x:f>
        <x:v>0</x:v>
      </x:c>
      <x:c r="AF31" s="40" t="n">
        <x:f>MAX(0,MIN($G31,125)-MAX($F31,121)+1)*$D31/$E31</x:f>
        <x:v>0</x:v>
      </x:c>
      <x:c r="AG31" s="40" t="n">
        <x:f>MAX(0,MIN($G31,130)-MAX($F31,126)+1)*$D31/$E31</x:f>
        <x:v>0</x:v>
      </x:c>
      <x:c r="AH31" s="40" t="n">
        <x:f>MAX(0,MIN($G31,135)-MAX($F31,131)+1)*$D31/$E31</x:f>
        <x:v>0</x:v>
      </x:c>
      <x:c r="AI31" s="40" t="n">
        <x:f>MAX(0,MIN($G31,140)-MAX($F31,136)+1)*$D31/$E31</x:f>
        <x:v>0</x:v>
      </x:c>
      <x:c r="AJ31" s="40" t="n">
        <x:f>MAX(0,MIN($G31,145)-MAX($F31,141)+1)*$D31/$E31</x:f>
        <x:v>0</x:v>
      </x:c>
      <x:c r="AK31" s="40" t="n">
        <x:f>MAX(0,MIN($G31,150)-MAX($F31,146)+1)*$D31/$E31</x:f>
        <x:v>0</x:v>
      </x:c>
      <x:c r="AL31" s="40" t="n">
        <x:f>MAX(0,MIN($G31,155)-MAX($F31,151)+1)*$D31/$E31</x:f>
        <x:v>0</x:v>
      </x:c>
      <x:c r="AM31" s="40" t="n">
        <x:f>MAX(0,MIN($G31,160)-MAX($F31,156)+1)*$D31/$E31</x:f>
        <x:v>0</x:v>
      </x:c>
      <x:c r="AN31" s="40" t="n">
        <x:f>MAX(0,MIN($G31,165)-MAX($F31,161)+1)*$D31/$E31</x:f>
        <x:v>0</x:v>
      </x:c>
      <x:c r="AO31" s="40" t="n">
        <x:f>MAX(0,MIN($G31,170)-MAX($F31,166)+1)*$D31/$E31</x:f>
        <x:v>0</x:v>
      </x:c>
      <x:c r="AP31" s="40" t="n">
        <x:f>MAX(0,MIN($G31,175)-MAX($F31,171)+1)*$D31/$E31</x:f>
        <x:v>0</x:v>
      </x:c>
      <x:c r="AQ31" s="40" t="n">
        <x:f>MAX(0,MIN($G31,180)-MAX($F31,176)+1)*$D31/$E31</x:f>
        <x:v>0</x:v>
      </x:c>
    </x:row>
    <x:row r="32" ht="27" customHeight="1">
      <x:c r="A32" s="10" t="str">
        <x:v>A07</x:v>
      </x:c>
      <x:c r="B32" s="10" t="str">
        <x:f>'Tasks'!D19</x:f>
        <x:v>TD</x:v>
      </x:c>
      <x:c r="C32" s="10" t="str">
        <x:v>Owner</x:v>
      </x:c>
      <x:c r="D32" s="39" t="n">
        <x:f>'Tasks'!O19</x:f>
        <x:v>24</x:v>
      </x:c>
      <x:c r="E32" s="39" t="n">
        <x:f>'Tasks'!F19</x:f>
        <x:v>5</x:v>
      </x:c>
      <x:c r="F32" s="39" t="n">
        <x:f>'Tasks'!K19</x:f>
        <x:v>4</x:v>
      </x:c>
      <x:c r="G32" s="39" t="n">
        <x:f>'Tasks'!L19</x:f>
        <x:v>8</x:v>
      </x:c>
      <x:c r="H32" s="39" t="n">
        <x:f>MAX(0,MIN($G32,5)-MAX($F32,1)+1)*$D32/$E32</x:f>
        <x:v>9.6</x:v>
      </x:c>
      <x:c r="I32" s="39" t="n">
        <x:f>MAX(0,MIN($G32,10)-MAX($F32,6)+1)*$D32/$E32</x:f>
        <x:v>14.4</x:v>
      </x:c>
      <x:c r="J32" s="39" t="n">
        <x:f>MAX(0,MIN($G32,15)-MAX($F32,11)+1)*$D32/$E32</x:f>
        <x:v>0</x:v>
      </x:c>
      <x:c r="K32" s="39" t="n">
        <x:f>MAX(0,MIN($G32,20)-MAX($F32,16)+1)*$D32/$E32</x:f>
        <x:v>0</x:v>
      </x:c>
      <x:c r="L32" s="39" t="n">
        <x:f>MAX(0,MIN($G32,25)-MAX($F32,21)+1)*$D32/$E32</x:f>
        <x:v>0</x:v>
      </x:c>
      <x:c r="M32" s="39" t="n">
        <x:f>MAX(0,MIN($G32,30)-MAX($F32,26)+1)*$D32/$E32</x:f>
        <x:v>0</x:v>
      </x:c>
      <x:c r="N32" s="39" t="n">
        <x:f>MAX(0,MIN($G32,35)-MAX($F32,31)+1)*$D32/$E32</x:f>
        <x:v>0</x:v>
      </x:c>
      <x:c r="O32" s="39" t="n">
        <x:f>MAX(0,MIN($G32,40)-MAX($F32,36)+1)*$D32/$E32</x:f>
        <x:v>0</x:v>
      </x:c>
      <x:c r="P32" s="39" t="n">
        <x:f>MAX(0,MIN($G32,45)-MAX($F32,41)+1)*$D32/$E32</x:f>
        <x:v>0</x:v>
      </x:c>
      <x:c r="Q32" s="39" t="n">
        <x:f>MAX(0,MIN($G32,50)-MAX($F32,46)+1)*$D32/$E32</x:f>
        <x:v>0</x:v>
      </x:c>
      <x:c r="R32" s="39" t="n">
        <x:f>MAX(0,MIN($G32,55)-MAX($F32,51)+1)*$D32/$E32</x:f>
        <x:v>0</x:v>
      </x:c>
      <x:c r="S32" s="39" t="n">
        <x:f>MAX(0,MIN($G32,60)-MAX($F32,56)+1)*$D32/$E32</x:f>
        <x:v>0</x:v>
      </x:c>
      <x:c r="T32" s="39" t="n">
        <x:f>MAX(0,MIN($G32,65)-MAX($F32,61)+1)*$D32/$E32</x:f>
        <x:v>0</x:v>
      </x:c>
      <x:c r="U32" s="39" t="n">
        <x:f>MAX(0,MIN($G32,70)-MAX($F32,66)+1)*$D32/$E32</x:f>
        <x:v>0</x:v>
      </x:c>
      <x:c r="V32" s="39" t="n">
        <x:f>MAX(0,MIN($G32,75)-MAX($F32,71)+1)*$D32/$E32</x:f>
        <x:v>0</x:v>
      </x:c>
      <x:c r="W32" s="39" t="n">
        <x:f>MAX(0,MIN($G32,80)-MAX($F32,76)+1)*$D32/$E32</x:f>
        <x:v>0</x:v>
      </x:c>
      <x:c r="X32" s="39" t="n">
        <x:f>MAX(0,MIN($G32,85)-MAX($F32,81)+1)*$D32/$E32</x:f>
        <x:v>0</x:v>
      </x:c>
      <x:c r="Y32" s="39" t="n">
        <x:f>MAX(0,MIN($G32,90)-MAX($F32,86)+1)*$D32/$E32</x:f>
        <x:v>0</x:v>
      </x:c>
      <x:c r="Z32" s="39" t="n">
        <x:f>MAX(0,MIN($G32,95)-MAX($F32,91)+1)*$D32/$E32</x:f>
        <x:v>0</x:v>
      </x:c>
      <x:c r="AA32" s="39" t="n">
        <x:f>MAX(0,MIN($G32,100)-MAX($F32,96)+1)*$D32/$E32</x:f>
        <x:v>0</x:v>
      </x:c>
      <x:c r="AB32" s="39" t="n">
        <x:f>MAX(0,MIN($G32,105)-MAX($F32,101)+1)*$D32/$E32</x:f>
        <x:v>0</x:v>
      </x:c>
      <x:c r="AC32" s="39" t="n">
        <x:f>MAX(0,MIN($G32,110)-MAX($F32,106)+1)*$D32/$E32</x:f>
        <x:v>0</x:v>
      </x:c>
      <x:c r="AD32" s="39" t="n">
        <x:f>MAX(0,MIN($G32,115)-MAX($F32,111)+1)*$D32/$E32</x:f>
        <x:v>0</x:v>
      </x:c>
      <x:c r="AE32" s="39" t="n">
        <x:f>MAX(0,MIN($G32,120)-MAX($F32,116)+1)*$D32/$E32</x:f>
        <x:v>0</x:v>
      </x:c>
      <x:c r="AF32" s="39" t="n">
        <x:f>MAX(0,MIN($G32,125)-MAX($F32,121)+1)*$D32/$E32</x:f>
        <x:v>0</x:v>
      </x:c>
      <x:c r="AG32" s="39" t="n">
        <x:f>MAX(0,MIN($G32,130)-MAX($F32,126)+1)*$D32/$E32</x:f>
        <x:v>0</x:v>
      </x:c>
      <x:c r="AH32" s="39" t="n">
        <x:f>MAX(0,MIN($G32,135)-MAX($F32,131)+1)*$D32/$E32</x:f>
        <x:v>0</x:v>
      </x:c>
      <x:c r="AI32" s="39" t="n">
        <x:f>MAX(0,MIN($G32,140)-MAX($F32,136)+1)*$D32/$E32</x:f>
        <x:v>0</x:v>
      </x:c>
      <x:c r="AJ32" s="39" t="n">
        <x:f>MAX(0,MIN($G32,145)-MAX($F32,141)+1)*$D32/$E32</x:f>
        <x:v>0</x:v>
      </x:c>
      <x:c r="AK32" s="39" t="n">
        <x:f>MAX(0,MIN($G32,150)-MAX($F32,146)+1)*$D32/$E32</x:f>
        <x:v>0</x:v>
      </x:c>
      <x:c r="AL32" s="39" t="n">
        <x:f>MAX(0,MIN($G32,155)-MAX($F32,151)+1)*$D32/$E32</x:f>
        <x:v>0</x:v>
      </x:c>
      <x:c r="AM32" s="39" t="n">
        <x:f>MAX(0,MIN($G32,160)-MAX($F32,156)+1)*$D32/$E32</x:f>
        <x:v>0</x:v>
      </x:c>
      <x:c r="AN32" s="39" t="n">
        <x:f>MAX(0,MIN($G32,165)-MAX($F32,161)+1)*$D32/$E32</x:f>
        <x:v>0</x:v>
      </x:c>
      <x:c r="AO32" s="39" t="n">
        <x:f>MAX(0,MIN($G32,170)-MAX($F32,166)+1)*$D32/$E32</x:f>
        <x:v>0</x:v>
      </x:c>
      <x:c r="AP32" s="39" t="n">
        <x:f>MAX(0,MIN($G32,175)-MAX($F32,171)+1)*$D32/$E32</x:f>
        <x:v>0</x:v>
      </x:c>
      <x:c r="AQ32" s="39" t="n">
        <x:f>MAX(0,MIN($G32,180)-MAX($F32,176)+1)*$D32/$E32</x:f>
        <x:v>0</x:v>
      </x:c>
    </x:row>
    <x:row r="33" ht="27" customHeight="1">
      <x:c r="A33" s="9" t="str">
        <x:v>A07</x:v>
      </x:c>
      <x:c r="B33" s="9" t="str">
        <x:f>'Tasks'!P19</x:f>
        <x:v>EXP</x:v>
      </x:c>
      <x:c r="C33" s="9" t="str">
        <x:v>Review</x:v>
      </x:c>
      <x:c r="D33" s="40" t="n">
        <x:f>'Tasks'!Q19</x:f>
        <x:v>8</x:v>
      </x:c>
      <x:c r="E33" s="40" t="n">
        <x:f>'Tasks'!F19</x:f>
        <x:v>5</x:v>
      </x:c>
      <x:c r="F33" s="40" t="n">
        <x:f>'Tasks'!K19</x:f>
        <x:v>4</x:v>
      </x:c>
      <x:c r="G33" s="40" t="n">
        <x:f>'Tasks'!L19</x:f>
        <x:v>8</x:v>
      </x:c>
      <x:c r="H33" s="40" t="n">
        <x:f>MAX(0,MIN($G33,5)-MAX($F33,1)+1)*$D33/$E33</x:f>
        <x:v>3.2</x:v>
      </x:c>
      <x:c r="I33" s="40" t="n">
        <x:f>MAX(0,MIN($G33,10)-MAX($F33,6)+1)*$D33/$E33</x:f>
        <x:v>4.8</x:v>
      </x:c>
      <x:c r="J33" s="40" t="n">
        <x:f>MAX(0,MIN($G33,15)-MAX($F33,11)+1)*$D33/$E33</x:f>
        <x:v>0</x:v>
      </x:c>
      <x:c r="K33" s="40" t="n">
        <x:f>MAX(0,MIN($G33,20)-MAX($F33,16)+1)*$D33/$E33</x:f>
        <x:v>0</x:v>
      </x:c>
      <x:c r="L33" s="40" t="n">
        <x:f>MAX(0,MIN($G33,25)-MAX($F33,21)+1)*$D33/$E33</x:f>
        <x:v>0</x:v>
      </x:c>
      <x:c r="M33" s="40" t="n">
        <x:f>MAX(0,MIN($G33,30)-MAX($F33,26)+1)*$D33/$E33</x:f>
        <x:v>0</x:v>
      </x:c>
      <x:c r="N33" s="40" t="n">
        <x:f>MAX(0,MIN($G33,35)-MAX($F33,31)+1)*$D33/$E33</x:f>
        <x:v>0</x:v>
      </x:c>
      <x:c r="O33" s="40" t="n">
        <x:f>MAX(0,MIN($G33,40)-MAX($F33,36)+1)*$D33/$E33</x:f>
        <x:v>0</x:v>
      </x:c>
      <x:c r="P33" s="40" t="n">
        <x:f>MAX(0,MIN($G33,45)-MAX($F33,41)+1)*$D33/$E33</x:f>
        <x:v>0</x:v>
      </x:c>
      <x:c r="Q33" s="40" t="n">
        <x:f>MAX(0,MIN($G33,50)-MAX($F33,46)+1)*$D33/$E33</x:f>
        <x:v>0</x:v>
      </x:c>
      <x:c r="R33" s="40" t="n">
        <x:f>MAX(0,MIN($G33,55)-MAX($F33,51)+1)*$D33/$E33</x:f>
        <x:v>0</x:v>
      </x:c>
      <x:c r="S33" s="40" t="n">
        <x:f>MAX(0,MIN($G33,60)-MAX($F33,56)+1)*$D33/$E33</x:f>
        <x:v>0</x:v>
      </x:c>
      <x:c r="T33" s="40" t="n">
        <x:f>MAX(0,MIN($G33,65)-MAX($F33,61)+1)*$D33/$E33</x:f>
        <x:v>0</x:v>
      </x:c>
      <x:c r="U33" s="40" t="n">
        <x:f>MAX(0,MIN($G33,70)-MAX($F33,66)+1)*$D33/$E33</x:f>
        <x:v>0</x:v>
      </x:c>
      <x:c r="V33" s="40" t="n">
        <x:f>MAX(0,MIN($G33,75)-MAX($F33,71)+1)*$D33/$E33</x:f>
        <x:v>0</x:v>
      </x:c>
      <x:c r="W33" s="40" t="n">
        <x:f>MAX(0,MIN($G33,80)-MAX($F33,76)+1)*$D33/$E33</x:f>
        <x:v>0</x:v>
      </x:c>
      <x:c r="X33" s="40" t="n">
        <x:f>MAX(0,MIN($G33,85)-MAX($F33,81)+1)*$D33/$E33</x:f>
        <x:v>0</x:v>
      </x:c>
      <x:c r="Y33" s="40" t="n">
        <x:f>MAX(0,MIN($G33,90)-MAX($F33,86)+1)*$D33/$E33</x:f>
        <x:v>0</x:v>
      </x:c>
      <x:c r="Z33" s="40" t="n">
        <x:f>MAX(0,MIN($G33,95)-MAX($F33,91)+1)*$D33/$E33</x:f>
        <x:v>0</x:v>
      </x:c>
      <x:c r="AA33" s="40" t="n">
        <x:f>MAX(0,MIN($G33,100)-MAX($F33,96)+1)*$D33/$E33</x:f>
        <x:v>0</x:v>
      </x:c>
      <x:c r="AB33" s="40" t="n">
        <x:f>MAX(0,MIN($G33,105)-MAX($F33,101)+1)*$D33/$E33</x:f>
        <x:v>0</x:v>
      </x:c>
      <x:c r="AC33" s="40" t="n">
        <x:f>MAX(0,MIN($G33,110)-MAX($F33,106)+1)*$D33/$E33</x:f>
        <x:v>0</x:v>
      </x:c>
      <x:c r="AD33" s="40" t="n">
        <x:f>MAX(0,MIN($G33,115)-MAX($F33,111)+1)*$D33/$E33</x:f>
        <x:v>0</x:v>
      </x:c>
      <x:c r="AE33" s="40" t="n">
        <x:f>MAX(0,MIN($G33,120)-MAX($F33,116)+1)*$D33/$E33</x:f>
        <x:v>0</x:v>
      </x:c>
      <x:c r="AF33" s="40" t="n">
        <x:f>MAX(0,MIN($G33,125)-MAX($F33,121)+1)*$D33/$E33</x:f>
        <x:v>0</x:v>
      </x:c>
      <x:c r="AG33" s="40" t="n">
        <x:f>MAX(0,MIN($G33,130)-MAX($F33,126)+1)*$D33/$E33</x:f>
        <x:v>0</x:v>
      </x:c>
      <x:c r="AH33" s="40" t="n">
        <x:f>MAX(0,MIN($G33,135)-MAX($F33,131)+1)*$D33/$E33</x:f>
        <x:v>0</x:v>
      </x:c>
      <x:c r="AI33" s="40" t="n">
        <x:f>MAX(0,MIN($G33,140)-MAX($F33,136)+1)*$D33/$E33</x:f>
        <x:v>0</x:v>
      </x:c>
      <x:c r="AJ33" s="40" t="n">
        <x:f>MAX(0,MIN($G33,145)-MAX($F33,141)+1)*$D33/$E33</x:f>
        <x:v>0</x:v>
      </x:c>
      <x:c r="AK33" s="40" t="n">
        <x:f>MAX(0,MIN($G33,150)-MAX($F33,146)+1)*$D33/$E33</x:f>
        <x:v>0</x:v>
      </x:c>
      <x:c r="AL33" s="40" t="n">
        <x:f>MAX(0,MIN($G33,155)-MAX($F33,151)+1)*$D33/$E33</x:f>
        <x:v>0</x:v>
      </x:c>
      <x:c r="AM33" s="40" t="n">
        <x:f>MAX(0,MIN($G33,160)-MAX($F33,156)+1)*$D33/$E33</x:f>
        <x:v>0</x:v>
      </x:c>
      <x:c r="AN33" s="40" t="n">
        <x:f>MAX(0,MIN($G33,165)-MAX($F33,161)+1)*$D33/$E33</x:f>
        <x:v>0</x:v>
      </x:c>
      <x:c r="AO33" s="40" t="n">
        <x:f>MAX(0,MIN($G33,170)-MAX($F33,166)+1)*$D33/$E33</x:f>
        <x:v>0</x:v>
      </x:c>
      <x:c r="AP33" s="40" t="n">
        <x:f>MAX(0,MIN($G33,175)-MAX($F33,171)+1)*$D33/$E33</x:f>
        <x:v>0</x:v>
      </x:c>
      <x:c r="AQ33" s="40" t="n">
        <x:f>MAX(0,MIN($G33,180)-MAX($F33,176)+1)*$D33/$E33</x:f>
        <x:v>0</x:v>
      </x:c>
    </x:row>
    <x:row r="34" ht="27" customHeight="1">
      <x:c r="A34" s="10" t="str">
        <x:v>G0</x:v>
      </x:c>
      <x:c r="B34" s="10" t="str">
        <x:f>'Tasks'!D20</x:f>
        <x:v>MD</x:v>
      </x:c>
      <x:c r="C34" s="10" t="str">
        <x:v>Owner</x:v>
      </x:c>
      <x:c r="D34" s="39" t="n">
        <x:f>'Tasks'!O20</x:f>
        <x:v>4</x:v>
      </x:c>
      <x:c r="E34" s="39" t="n">
        <x:f>'Tasks'!F20</x:f>
        <x:v>1</x:v>
      </x:c>
      <x:c r="F34" s="39" t="n">
        <x:f>'Tasks'!K20</x:f>
        <x:v>10</x:v>
      </x:c>
      <x:c r="G34" s="39" t="n">
        <x:f>'Tasks'!L20</x:f>
        <x:v>10</x:v>
      </x:c>
      <x:c r="H34" s="39" t="n">
        <x:f>MAX(0,MIN($G34,5)-MAX($F34,1)+1)*$D34/$E34</x:f>
        <x:v>0</x:v>
      </x:c>
      <x:c r="I34" s="39" t="n">
        <x:f>MAX(0,MIN($G34,10)-MAX($F34,6)+1)*$D34/$E34</x:f>
        <x:v>4</x:v>
      </x:c>
      <x:c r="J34" s="39" t="n">
        <x:f>MAX(0,MIN($G34,15)-MAX($F34,11)+1)*$D34/$E34</x:f>
        <x:v>0</x:v>
      </x:c>
      <x:c r="K34" s="39" t="n">
        <x:f>MAX(0,MIN($G34,20)-MAX($F34,16)+1)*$D34/$E34</x:f>
        <x:v>0</x:v>
      </x:c>
      <x:c r="L34" s="39" t="n">
        <x:f>MAX(0,MIN($G34,25)-MAX($F34,21)+1)*$D34/$E34</x:f>
        <x:v>0</x:v>
      </x:c>
      <x:c r="M34" s="39" t="n">
        <x:f>MAX(0,MIN($G34,30)-MAX($F34,26)+1)*$D34/$E34</x:f>
        <x:v>0</x:v>
      </x:c>
      <x:c r="N34" s="39" t="n">
        <x:f>MAX(0,MIN($G34,35)-MAX($F34,31)+1)*$D34/$E34</x:f>
        <x:v>0</x:v>
      </x:c>
      <x:c r="O34" s="39" t="n">
        <x:f>MAX(0,MIN($G34,40)-MAX($F34,36)+1)*$D34/$E34</x:f>
        <x:v>0</x:v>
      </x:c>
      <x:c r="P34" s="39" t="n">
        <x:f>MAX(0,MIN($G34,45)-MAX($F34,41)+1)*$D34/$E34</x:f>
        <x:v>0</x:v>
      </x:c>
      <x:c r="Q34" s="39" t="n">
        <x:f>MAX(0,MIN($G34,50)-MAX($F34,46)+1)*$D34/$E34</x:f>
        <x:v>0</x:v>
      </x:c>
      <x:c r="R34" s="39" t="n">
        <x:f>MAX(0,MIN($G34,55)-MAX($F34,51)+1)*$D34/$E34</x:f>
        <x:v>0</x:v>
      </x:c>
      <x:c r="S34" s="39" t="n">
        <x:f>MAX(0,MIN($G34,60)-MAX($F34,56)+1)*$D34/$E34</x:f>
        <x:v>0</x:v>
      </x:c>
      <x:c r="T34" s="39" t="n">
        <x:f>MAX(0,MIN($G34,65)-MAX($F34,61)+1)*$D34/$E34</x:f>
        <x:v>0</x:v>
      </x:c>
      <x:c r="U34" s="39" t="n">
        <x:f>MAX(0,MIN($G34,70)-MAX($F34,66)+1)*$D34/$E34</x:f>
        <x:v>0</x:v>
      </x:c>
      <x:c r="V34" s="39" t="n">
        <x:f>MAX(0,MIN($G34,75)-MAX($F34,71)+1)*$D34/$E34</x:f>
        <x:v>0</x:v>
      </x:c>
      <x:c r="W34" s="39" t="n">
        <x:f>MAX(0,MIN($G34,80)-MAX($F34,76)+1)*$D34/$E34</x:f>
        <x:v>0</x:v>
      </x:c>
      <x:c r="X34" s="39" t="n">
        <x:f>MAX(0,MIN($G34,85)-MAX($F34,81)+1)*$D34/$E34</x:f>
        <x:v>0</x:v>
      </x:c>
      <x:c r="Y34" s="39" t="n">
        <x:f>MAX(0,MIN($G34,90)-MAX($F34,86)+1)*$D34/$E34</x:f>
        <x:v>0</x:v>
      </x:c>
      <x:c r="Z34" s="39" t="n">
        <x:f>MAX(0,MIN($G34,95)-MAX($F34,91)+1)*$D34/$E34</x:f>
        <x:v>0</x:v>
      </x:c>
      <x:c r="AA34" s="39" t="n">
        <x:f>MAX(0,MIN($G34,100)-MAX($F34,96)+1)*$D34/$E34</x:f>
        <x:v>0</x:v>
      </x:c>
      <x:c r="AB34" s="39" t="n">
        <x:f>MAX(0,MIN($G34,105)-MAX($F34,101)+1)*$D34/$E34</x:f>
        <x:v>0</x:v>
      </x:c>
      <x:c r="AC34" s="39" t="n">
        <x:f>MAX(0,MIN($G34,110)-MAX($F34,106)+1)*$D34/$E34</x:f>
        <x:v>0</x:v>
      </x:c>
      <x:c r="AD34" s="39" t="n">
        <x:f>MAX(0,MIN($G34,115)-MAX($F34,111)+1)*$D34/$E34</x:f>
        <x:v>0</x:v>
      </x:c>
      <x:c r="AE34" s="39" t="n">
        <x:f>MAX(0,MIN($G34,120)-MAX($F34,116)+1)*$D34/$E34</x:f>
        <x:v>0</x:v>
      </x:c>
      <x:c r="AF34" s="39" t="n">
        <x:f>MAX(0,MIN($G34,125)-MAX($F34,121)+1)*$D34/$E34</x:f>
        <x:v>0</x:v>
      </x:c>
      <x:c r="AG34" s="39" t="n">
        <x:f>MAX(0,MIN($G34,130)-MAX($F34,126)+1)*$D34/$E34</x:f>
        <x:v>0</x:v>
      </x:c>
      <x:c r="AH34" s="39" t="n">
        <x:f>MAX(0,MIN($G34,135)-MAX($F34,131)+1)*$D34/$E34</x:f>
        <x:v>0</x:v>
      </x:c>
      <x:c r="AI34" s="39" t="n">
        <x:f>MAX(0,MIN($G34,140)-MAX($F34,136)+1)*$D34/$E34</x:f>
        <x:v>0</x:v>
      </x:c>
      <x:c r="AJ34" s="39" t="n">
        <x:f>MAX(0,MIN($G34,145)-MAX($F34,141)+1)*$D34/$E34</x:f>
        <x:v>0</x:v>
      </x:c>
      <x:c r="AK34" s="39" t="n">
        <x:f>MAX(0,MIN($G34,150)-MAX($F34,146)+1)*$D34/$E34</x:f>
        <x:v>0</x:v>
      </x:c>
      <x:c r="AL34" s="39" t="n">
        <x:f>MAX(0,MIN($G34,155)-MAX($F34,151)+1)*$D34/$E34</x:f>
        <x:v>0</x:v>
      </x:c>
      <x:c r="AM34" s="39" t="n">
        <x:f>MAX(0,MIN($G34,160)-MAX($F34,156)+1)*$D34/$E34</x:f>
        <x:v>0</x:v>
      </x:c>
      <x:c r="AN34" s="39" t="n">
        <x:f>MAX(0,MIN($G34,165)-MAX($F34,161)+1)*$D34/$E34</x:f>
        <x:v>0</x:v>
      </x:c>
      <x:c r="AO34" s="39" t="n">
        <x:f>MAX(0,MIN($G34,170)-MAX($F34,166)+1)*$D34/$E34</x:f>
        <x:v>0</x:v>
      </x:c>
      <x:c r="AP34" s="39" t="n">
        <x:f>MAX(0,MIN($G34,175)-MAX($F34,171)+1)*$D34/$E34</x:f>
        <x:v>0</x:v>
      </x:c>
      <x:c r="AQ34" s="39" t="n">
        <x:f>MAX(0,MIN($G34,180)-MAX($F34,176)+1)*$D34/$E34</x:f>
        <x:v>0</x:v>
      </x:c>
    </x:row>
    <x:row r="35" ht="27" customHeight="1">
      <x:c r="A35" s="9" t="str">
        <x:v>G0</x:v>
      </x:c>
      <x:c r="B35" s="9" t="str">
        <x:f>'Tasks'!P20</x:f>
        <x:v>HP</x:v>
      </x:c>
      <x:c r="C35" s="9" t="str">
        <x:v>Review</x:v>
      </x:c>
      <x:c r="D35" s="40" t="n">
        <x:f>'Tasks'!Q20</x:f>
        <x:v>2</x:v>
      </x:c>
      <x:c r="E35" s="40" t="n">
        <x:f>'Tasks'!F20</x:f>
        <x:v>1</x:v>
      </x:c>
      <x:c r="F35" s="40" t="n">
        <x:f>'Tasks'!K20</x:f>
        <x:v>10</x:v>
      </x:c>
      <x:c r="G35" s="40" t="n">
        <x:f>'Tasks'!L20</x:f>
        <x:v>10</x:v>
      </x:c>
      <x:c r="H35" s="40" t="n">
        <x:f>MAX(0,MIN($G35,5)-MAX($F35,1)+1)*$D35/$E35</x:f>
        <x:v>0</x:v>
      </x:c>
      <x:c r="I35" s="40" t="n">
        <x:f>MAX(0,MIN($G35,10)-MAX($F35,6)+1)*$D35/$E35</x:f>
        <x:v>2</x:v>
      </x:c>
      <x:c r="J35" s="40" t="n">
        <x:f>MAX(0,MIN($G35,15)-MAX($F35,11)+1)*$D35/$E35</x:f>
        <x:v>0</x:v>
      </x:c>
      <x:c r="K35" s="40" t="n">
        <x:f>MAX(0,MIN($G35,20)-MAX($F35,16)+1)*$D35/$E35</x:f>
        <x:v>0</x:v>
      </x:c>
      <x:c r="L35" s="40" t="n">
        <x:f>MAX(0,MIN($G35,25)-MAX($F35,21)+1)*$D35/$E35</x:f>
        <x:v>0</x:v>
      </x:c>
      <x:c r="M35" s="40" t="n">
        <x:f>MAX(0,MIN($G35,30)-MAX($F35,26)+1)*$D35/$E35</x:f>
        <x:v>0</x:v>
      </x:c>
      <x:c r="N35" s="40" t="n">
        <x:f>MAX(0,MIN($G35,35)-MAX($F35,31)+1)*$D35/$E35</x:f>
        <x:v>0</x:v>
      </x:c>
      <x:c r="O35" s="40" t="n">
        <x:f>MAX(0,MIN($G35,40)-MAX($F35,36)+1)*$D35/$E35</x:f>
        <x:v>0</x:v>
      </x:c>
      <x:c r="P35" s="40" t="n">
        <x:f>MAX(0,MIN($G35,45)-MAX($F35,41)+1)*$D35/$E35</x:f>
        <x:v>0</x:v>
      </x:c>
      <x:c r="Q35" s="40" t="n">
        <x:f>MAX(0,MIN($G35,50)-MAX($F35,46)+1)*$D35/$E35</x:f>
        <x:v>0</x:v>
      </x:c>
      <x:c r="R35" s="40" t="n">
        <x:f>MAX(0,MIN($G35,55)-MAX($F35,51)+1)*$D35/$E35</x:f>
        <x:v>0</x:v>
      </x:c>
      <x:c r="S35" s="40" t="n">
        <x:f>MAX(0,MIN($G35,60)-MAX($F35,56)+1)*$D35/$E35</x:f>
        <x:v>0</x:v>
      </x:c>
      <x:c r="T35" s="40" t="n">
        <x:f>MAX(0,MIN($G35,65)-MAX($F35,61)+1)*$D35/$E35</x:f>
        <x:v>0</x:v>
      </x:c>
      <x:c r="U35" s="40" t="n">
        <x:f>MAX(0,MIN($G35,70)-MAX($F35,66)+1)*$D35/$E35</x:f>
        <x:v>0</x:v>
      </x:c>
      <x:c r="V35" s="40" t="n">
        <x:f>MAX(0,MIN($G35,75)-MAX($F35,71)+1)*$D35/$E35</x:f>
        <x:v>0</x:v>
      </x:c>
      <x:c r="W35" s="40" t="n">
        <x:f>MAX(0,MIN($G35,80)-MAX($F35,76)+1)*$D35/$E35</x:f>
        <x:v>0</x:v>
      </x:c>
      <x:c r="X35" s="40" t="n">
        <x:f>MAX(0,MIN($G35,85)-MAX($F35,81)+1)*$D35/$E35</x:f>
        <x:v>0</x:v>
      </x:c>
      <x:c r="Y35" s="40" t="n">
        <x:f>MAX(0,MIN($G35,90)-MAX($F35,86)+1)*$D35/$E35</x:f>
        <x:v>0</x:v>
      </x:c>
      <x:c r="Z35" s="40" t="n">
        <x:f>MAX(0,MIN($G35,95)-MAX($F35,91)+1)*$D35/$E35</x:f>
        <x:v>0</x:v>
      </x:c>
      <x:c r="AA35" s="40" t="n">
        <x:f>MAX(0,MIN($G35,100)-MAX($F35,96)+1)*$D35/$E35</x:f>
        <x:v>0</x:v>
      </x:c>
      <x:c r="AB35" s="40" t="n">
        <x:f>MAX(0,MIN($G35,105)-MAX($F35,101)+1)*$D35/$E35</x:f>
        <x:v>0</x:v>
      </x:c>
      <x:c r="AC35" s="40" t="n">
        <x:f>MAX(0,MIN($G35,110)-MAX($F35,106)+1)*$D35/$E35</x:f>
        <x:v>0</x:v>
      </x:c>
      <x:c r="AD35" s="40" t="n">
        <x:f>MAX(0,MIN($G35,115)-MAX($F35,111)+1)*$D35/$E35</x:f>
        <x:v>0</x:v>
      </x:c>
      <x:c r="AE35" s="40" t="n">
        <x:f>MAX(0,MIN($G35,120)-MAX($F35,116)+1)*$D35/$E35</x:f>
        <x:v>0</x:v>
      </x:c>
      <x:c r="AF35" s="40" t="n">
        <x:f>MAX(0,MIN($G35,125)-MAX($F35,121)+1)*$D35/$E35</x:f>
        <x:v>0</x:v>
      </x:c>
      <x:c r="AG35" s="40" t="n">
        <x:f>MAX(0,MIN($G35,130)-MAX($F35,126)+1)*$D35/$E35</x:f>
        <x:v>0</x:v>
      </x:c>
      <x:c r="AH35" s="40" t="n">
        <x:f>MAX(0,MIN($G35,135)-MAX($F35,131)+1)*$D35/$E35</x:f>
        <x:v>0</x:v>
      </x:c>
      <x:c r="AI35" s="40" t="n">
        <x:f>MAX(0,MIN($G35,140)-MAX($F35,136)+1)*$D35/$E35</x:f>
        <x:v>0</x:v>
      </x:c>
      <x:c r="AJ35" s="40" t="n">
        <x:f>MAX(0,MIN($G35,145)-MAX($F35,141)+1)*$D35/$E35</x:f>
        <x:v>0</x:v>
      </x:c>
      <x:c r="AK35" s="40" t="n">
        <x:f>MAX(0,MIN($G35,150)-MAX($F35,146)+1)*$D35/$E35</x:f>
        <x:v>0</x:v>
      </x:c>
      <x:c r="AL35" s="40" t="n">
        <x:f>MAX(0,MIN($G35,155)-MAX($F35,151)+1)*$D35/$E35</x:f>
        <x:v>0</x:v>
      </x:c>
      <x:c r="AM35" s="40" t="n">
        <x:f>MAX(0,MIN($G35,160)-MAX($F35,156)+1)*$D35/$E35</x:f>
        <x:v>0</x:v>
      </x:c>
      <x:c r="AN35" s="40" t="n">
        <x:f>MAX(0,MIN($G35,165)-MAX($F35,161)+1)*$D35/$E35</x:f>
        <x:v>0</x:v>
      </x:c>
      <x:c r="AO35" s="40" t="n">
        <x:f>MAX(0,MIN($G35,170)-MAX($F35,166)+1)*$D35/$E35</x:f>
        <x:v>0</x:v>
      </x:c>
      <x:c r="AP35" s="40" t="n">
        <x:f>MAX(0,MIN($G35,175)-MAX($F35,171)+1)*$D35/$E35</x:f>
        <x:v>0</x:v>
      </x:c>
      <x:c r="AQ35" s="40" t="n">
        <x:f>MAX(0,MIN($G35,180)-MAX($F35,176)+1)*$D35/$E35</x:f>
        <x:v>0</x:v>
      </x:c>
    </x:row>
    <x:row r="36" ht="27" customHeight="1">
      <x:c r="A36" s="10" t="str">
        <x:v>C01</x:v>
      </x:c>
      <x:c r="B36" s="10" t="str">
        <x:f>'Tasks'!D21</x:f>
        <x:v>AI</x:v>
      </x:c>
      <x:c r="C36" s="10" t="str">
        <x:v>Owner</x:v>
      </x:c>
      <x:c r="D36" s="39" t="n">
        <x:f>'Tasks'!O21</x:f>
        <x:v>18</x:v>
      </x:c>
      <x:c r="E36" s="39" t="n">
        <x:f>'Tasks'!F21</x:f>
        <x:v>3</x:v>
      </x:c>
      <x:c r="F36" s="39" t="n">
        <x:f>'Tasks'!K21</x:f>
        <x:v>15</x:v>
      </x:c>
      <x:c r="G36" s="39" t="n">
        <x:f>'Tasks'!L21</x:f>
        <x:v>17</x:v>
      </x:c>
      <x:c r="H36" s="39" t="n">
        <x:f>MAX(0,MIN($G36,5)-MAX($F36,1)+1)*$D36/$E36</x:f>
        <x:v>0</x:v>
      </x:c>
      <x:c r="I36" s="39" t="n">
        <x:f>MAX(0,MIN($G36,10)-MAX($F36,6)+1)*$D36/$E36</x:f>
        <x:v>0</x:v>
      </x:c>
      <x:c r="J36" s="39" t="n">
        <x:f>MAX(0,MIN($G36,15)-MAX($F36,11)+1)*$D36/$E36</x:f>
        <x:v>6</x:v>
      </x:c>
      <x:c r="K36" s="39" t="n">
        <x:f>MAX(0,MIN($G36,20)-MAX($F36,16)+1)*$D36/$E36</x:f>
        <x:v>12</x:v>
      </x:c>
      <x:c r="L36" s="39" t="n">
        <x:f>MAX(0,MIN($G36,25)-MAX($F36,21)+1)*$D36/$E36</x:f>
        <x:v>0</x:v>
      </x:c>
      <x:c r="M36" s="39" t="n">
        <x:f>MAX(0,MIN($G36,30)-MAX($F36,26)+1)*$D36/$E36</x:f>
        <x:v>0</x:v>
      </x:c>
      <x:c r="N36" s="39" t="n">
        <x:f>MAX(0,MIN($G36,35)-MAX($F36,31)+1)*$D36/$E36</x:f>
        <x:v>0</x:v>
      </x:c>
      <x:c r="O36" s="39" t="n">
        <x:f>MAX(0,MIN($G36,40)-MAX($F36,36)+1)*$D36/$E36</x:f>
        <x:v>0</x:v>
      </x:c>
      <x:c r="P36" s="39" t="n">
        <x:f>MAX(0,MIN($G36,45)-MAX($F36,41)+1)*$D36/$E36</x:f>
        <x:v>0</x:v>
      </x:c>
      <x:c r="Q36" s="39" t="n">
        <x:f>MAX(0,MIN($G36,50)-MAX($F36,46)+1)*$D36/$E36</x:f>
        <x:v>0</x:v>
      </x:c>
      <x:c r="R36" s="39" t="n">
        <x:f>MAX(0,MIN($G36,55)-MAX($F36,51)+1)*$D36/$E36</x:f>
        <x:v>0</x:v>
      </x:c>
      <x:c r="S36" s="39" t="n">
        <x:f>MAX(0,MIN($G36,60)-MAX($F36,56)+1)*$D36/$E36</x:f>
        <x:v>0</x:v>
      </x:c>
      <x:c r="T36" s="39" t="n">
        <x:f>MAX(0,MIN($G36,65)-MAX($F36,61)+1)*$D36/$E36</x:f>
        <x:v>0</x:v>
      </x:c>
      <x:c r="U36" s="39" t="n">
        <x:f>MAX(0,MIN($G36,70)-MAX($F36,66)+1)*$D36/$E36</x:f>
        <x:v>0</x:v>
      </x:c>
      <x:c r="V36" s="39" t="n">
        <x:f>MAX(0,MIN($G36,75)-MAX($F36,71)+1)*$D36/$E36</x:f>
        <x:v>0</x:v>
      </x:c>
      <x:c r="W36" s="39" t="n">
        <x:f>MAX(0,MIN($G36,80)-MAX($F36,76)+1)*$D36/$E36</x:f>
        <x:v>0</x:v>
      </x:c>
      <x:c r="X36" s="39" t="n">
        <x:f>MAX(0,MIN($G36,85)-MAX($F36,81)+1)*$D36/$E36</x:f>
        <x:v>0</x:v>
      </x:c>
      <x:c r="Y36" s="39" t="n">
        <x:f>MAX(0,MIN($G36,90)-MAX($F36,86)+1)*$D36/$E36</x:f>
        <x:v>0</x:v>
      </x:c>
      <x:c r="Z36" s="39" t="n">
        <x:f>MAX(0,MIN($G36,95)-MAX($F36,91)+1)*$D36/$E36</x:f>
        <x:v>0</x:v>
      </x:c>
      <x:c r="AA36" s="39" t="n">
        <x:f>MAX(0,MIN($G36,100)-MAX($F36,96)+1)*$D36/$E36</x:f>
        <x:v>0</x:v>
      </x:c>
      <x:c r="AB36" s="39" t="n">
        <x:f>MAX(0,MIN($G36,105)-MAX($F36,101)+1)*$D36/$E36</x:f>
        <x:v>0</x:v>
      </x:c>
      <x:c r="AC36" s="39" t="n">
        <x:f>MAX(0,MIN($G36,110)-MAX($F36,106)+1)*$D36/$E36</x:f>
        <x:v>0</x:v>
      </x:c>
      <x:c r="AD36" s="39" t="n">
        <x:f>MAX(0,MIN($G36,115)-MAX($F36,111)+1)*$D36/$E36</x:f>
        <x:v>0</x:v>
      </x:c>
      <x:c r="AE36" s="39" t="n">
        <x:f>MAX(0,MIN($G36,120)-MAX($F36,116)+1)*$D36/$E36</x:f>
        <x:v>0</x:v>
      </x:c>
      <x:c r="AF36" s="39" t="n">
        <x:f>MAX(0,MIN($G36,125)-MAX($F36,121)+1)*$D36/$E36</x:f>
        <x:v>0</x:v>
      </x:c>
      <x:c r="AG36" s="39" t="n">
        <x:f>MAX(0,MIN($G36,130)-MAX($F36,126)+1)*$D36/$E36</x:f>
        <x:v>0</x:v>
      </x:c>
      <x:c r="AH36" s="39" t="n">
        <x:f>MAX(0,MIN($G36,135)-MAX($F36,131)+1)*$D36/$E36</x:f>
        <x:v>0</x:v>
      </x:c>
      <x:c r="AI36" s="39" t="n">
        <x:f>MAX(0,MIN($G36,140)-MAX($F36,136)+1)*$D36/$E36</x:f>
        <x:v>0</x:v>
      </x:c>
      <x:c r="AJ36" s="39" t="n">
        <x:f>MAX(0,MIN($G36,145)-MAX($F36,141)+1)*$D36/$E36</x:f>
        <x:v>0</x:v>
      </x:c>
      <x:c r="AK36" s="39" t="n">
        <x:f>MAX(0,MIN($G36,150)-MAX($F36,146)+1)*$D36/$E36</x:f>
        <x:v>0</x:v>
      </x:c>
      <x:c r="AL36" s="39" t="n">
        <x:f>MAX(0,MIN($G36,155)-MAX($F36,151)+1)*$D36/$E36</x:f>
        <x:v>0</x:v>
      </x:c>
      <x:c r="AM36" s="39" t="n">
        <x:f>MAX(0,MIN($G36,160)-MAX($F36,156)+1)*$D36/$E36</x:f>
        <x:v>0</x:v>
      </x:c>
      <x:c r="AN36" s="39" t="n">
        <x:f>MAX(0,MIN($G36,165)-MAX($F36,161)+1)*$D36/$E36</x:f>
        <x:v>0</x:v>
      </x:c>
      <x:c r="AO36" s="39" t="n">
        <x:f>MAX(0,MIN($G36,170)-MAX($F36,166)+1)*$D36/$E36</x:f>
        <x:v>0</x:v>
      </x:c>
      <x:c r="AP36" s="39" t="n">
        <x:f>MAX(0,MIN($G36,175)-MAX($F36,171)+1)*$D36/$E36</x:f>
        <x:v>0</x:v>
      </x:c>
      <x:c r="AQ36" s="39" t="n">
        <x:f>MAX(0,MIN($G36,180)-MAX($F36,176)+1)*$D36/$E36</x:f>
        <x:v>0</x:v>
      </x:c>
    </x:row>
    <x:row r="37" ht="27" customHeight="1">
      <x:c r="A37" s="9" t="str">
        <x:v>C01</x:v>
      </x:c>
      <x:c r="B37" s="9" t="str">
        <x:f>'Tasks'!P21</x:f>
        <x:v>SEC</x:v>
      </x:c>
      <x:c r="C37" s="9" t="str">
        <x:v>Review</x:v>
      </x:c>
      <x:c r="D37" s="40" t="n">
        <x:f>'Tasks'!Q21</x:f>
        <x:v>4</x:v>
      </x:c>
      <x:c r="E37" s="40" t="n">
        <x:f>'Tasks'!F21</x:f>
        <x:v>3</x:v>
      </x:c>
      <x:c r="F37" s="40" t="n">
        <x:f>'Tasks'!K21</x:f>
        <x:v>15</x:v>
      </x:c>
      <x:c r="G37" s="40" t="n">
        <x:f>'Tasks'!L21</x:f>
        <x:v>17</x:v>
      </x:c>
      <x:c r="H37" s="40" t="n">
        <x:f>MAX(0,MIN($G37,5)-MAX($F37,1)+1)*$D37/$E37</x:f>
        <x:v>0</x:v>
      </x:c>
      <x:c r="I37" s="40" t="n">
        <x:f>MAX(0,MIN($G37,10)-MAX($F37,6)+1)*$D37/$E37</x:f>
        <x:v>0</x:v>
      </x:c>
      <x:c r="J37" s="40" t="n">
        <x:f>MAX(0,MIN($G37,15)-MAX($F37,11)+1)*$D37/$E37</x:f>
        <x:v>1.3333333333333333</x:v>
      </x:c>
      <x:c r="K37" s="40" t="n">
        <x:f>MAX(0,MIN($G37,20)-MAX($F37,16)+1)*$D37/$E37</x:f>
        <x:v>2.6666666666666665</x:v>
      </x:c>
      <x:c r="L37" s="40" t="n">
        <x:f>MAX(0,MIN($G37,25)-MAX($F37,21)+1)*$D37/$E37</x:f>
        <x:v>0</x:v>
      </x:c>
      <x:c r="M37" s="40" t="n">
        <x:f>MAX(0,MIN($G37,30)-MAX($F37,26)+1)*$D37/$E37</x:f>
        <x:v>0</x:v>
      </x:c>
      <x:c r="N37" s="40" t="n">
        <x:f>MAX(0,MIN($G37,35)-MAX($F37,31)+1)*$D37/$E37</x:f>
        <x:v>0</x:v>
      </x:c>
      <x:c r="O37" s="40" t="n">
        <x:f>MAX(0,MIN($G37,40)-MAX($F37,36)+1)*$D37/$E37</x:f>
        <x:v>0</x:v>
      </x:c>
      <x:c r="P37" s="40" t="n">
        <x:f>MAX(0,MIN($G37,45)-MAX($F37,41)+1)*$D37/$E37</x:f>
        <x:v>0</x:v>
      </x:c>
      <x:c r="Q37" s="40" t="n">
        <x:f>MAX(0,MIN($G37,50)-MAX($F37,46)+1)*$D37/$E37</x:f>
        <x:v>0</x:v>
      </x:c>
      <x:c r="R37" s="40" t="n">
        <x:f>MAX(0,MIN($G37,55)-MAX($F37,51)+1)*$D37/$E37</x:f>
        <x:v>0</x:v>
      </x:c>
      <x:c r="S37" s="40" t="n">
        <x:f>MAX(0,MIN($G37,60)-MAX($F37,56)+1)*$D37/$E37</x:f>
        <x:v>0</x:v>
      </x:c>
      <x:c r="T37" s="40" t="n">
        <x:f>MAX(0,MIN($G37,65)-MAX($F37,61)+1)*$D37/$E37</x:f>
        <x:v>0</x:v>
      </x:c>
      <x:c r="U37" s="40" t="n">
        <x:f>MAX(0,MIN($G37,70)-MAX($F37,66)+1)*$D37/$E37</x:f>
        <x:v>0</x:v>
      </x:c>
      <x:c r="V37" s="40" t="n">
        <x:f>MAX(0,MIN($G37,75)-MAX($F37,71)+1)*$D37/$E37</x:f>
        <x:v>0</x:v>
      </x:c>
      <x:c r="W37" s="40" t="n">
        <x:f>MAX(0,MIN($G37,80)-MAX($F37,76)+1)*$D37/$E37</x:f>
        <x:v>0</x:v>
      </x:c>
      <x:c r="X37" s="40" t="n">
        <x:f>MAX(0,MIN($G37,85)-MAX($F37,81)+1)*$D37/$E37</x:f>
        <x:v>0</x:v>
      </x:c>
      <x:c r="Y37" s="40" t="n">
        <x:f>MAX(0,MIN($G37,90)-MAX($F37,86)+1)*$D37/$E37</x:f>
        <x:v>0</x:v>
      </x:c>
      <x:c r="Z37" s="40" t="n">
        <x:f>MAX(0,MIN($G37,95)-MAX($F37,91)+1)*$D37/$E37</x:f>
        <x:v>0</x:v>
      </x:c>
      <x:c r="AA37" s="40" t="n">
        <x:f>MAX(0,MIN($G37,100)-MAX($F37,96)+1)*$D37/$E37</x:f>
        <x:v>0</x:v>
      </x:c>
      <x:c r="AB37" s="40" t="n">
        <x:f>MAX(0,MIN($G37,105)-MAX($F37,101)+1)*$D37/$E37</x:f>
        <x:v>0</x:v>
      </x:c>
      <x:c r="AC37" s="40" t="n">
        <x:f>MAX(0,MIN($G37,110)-MAX($F37,106)+1)*$D37/$E37</x:f>
        <x:v>0</x:v>
      </x:c>
      <x:c r="AD37" s="40" t="n">
        <x:f>MAX(0,MIN($G37,115)-MAX($F37,111)+1)*$D37/$E37</x:f>
        <x:v>0</x:v>
      </x:c>
      <x:c r="AE37" s="40" t="n">
        <x:f>MAX(0,MIN($G37,120)-MAX($F37,116)+1)*$D37/$E37</x:f>
        <x:v>0</x:v>
      </x:c>
      <x:c r="AF37" s="40" t="n">
        <x:f>MAX(0,MIN($G37,125)-MAX($F37,121)+1)*$D37/$E37</x:f>
        <x:v>0</x:v>
      </x:c>
      <x:c r="AG37" s="40" t="n">
        <x:f>MAX(0,MIN($G37,130)-MAX($F37,126)+1)*$D37/$E37</x:f>
        <x:v>0</x:v>
      </x:c>
      <x:c r="AH37" s="40" t="n">
        <x:f>MAX(0,MIN($G37,135)-MAX($F37,131)+1)*$D37/$E37</x:f>
        <x:v>0</x:v>
      </x:c>
      <x:c r="AI37" s="40" t="n">
        <x:f>MAX(0,MIN($G37,140)-MAX($F37,136)+1)*$D37/$E37</x:f>
        <x:v>0</x:v>
      </x:c>
      <x:c r="AJ37" s="40" t="n">
        <x:f>MAX(0,MIN($G37,145)-MAX($F37,141)+1)*$D37/$E37</x:f>
        <x:v>0</x:v>
      </x:c>
      <x:c r="AK37" s="40" t="n">
        <x:f>MAX(0,MIN($G37,150)-MAX($F37,146)+1)*$D37/$E37</x:f>
        <x:v>0</x:v>
      </x:c>
      <x:c r="AL37" s="40" t="n">
        <x:f>MAX(0,MIN($G37,155)-MAX($F37,151)+1)*$D37/$E37</x:f>
        <x:v>0</x:v>
      </x:c>
      <x:c r="AM37" s="40" t="n">
        <x:f>MAX(0,MIN($G37,160)-MAX($F37,156)+1)*$D37/$E37</x:f>
        <x:v>0</x:v>
      </x:c>
      <x:c r="AN37" s="40" t="n">
        <x:f>MAX(0,MIN($G37,165)-MAX($F37,161)+1)*$D37/$E37</x:f>
        <x:v>0</x:v>
      </x:c>
      <x:c r="AO37" s="40" t="n">
        <x:f>MAX(0,MIN($G37,170)-MAX($F37,166)+1)*$D37/$E37</x:f>
        <x:v>0</x:v>
      </x:c>
      <x:c r="AP37" s="40" t="n">
        <x:f>MAX(0,MIN($G37,175)-MAX($F37,171)+1)*$D37/$E37</x:f>
        <x:v>0</x:v>
      </x:c>
      <x:c r="AQ37" s="40" t="n">
        <x:f>MAX(0,MIN($G37,180)-MAX($F37,176)+1)*$D37/$E37</x:f>
        <x:v>0</x:v>
      </x:c>
    </x:row>
    <x:row r="38" ht="27" customHeight="1">
      <x:c r="A38" s="10" t="str">
        <x:v>C02</x:v>
      </x:c>
      <x:c r="B38" s="10" t="str">
        <x:f>'Tasks'!D22</x:f>
        <x:v>KE</x:v>
      </x:c>
      <x:c r="C38" s="10" t="str">
        <x:v>Owner</x:v>
      </x:c>
      <x:c r="D38" s="39" t="n">
        <x:f>'Tasks'!O22</x:f>
        <x:v>16</x:v>
      </x:c>
      <x:c r="E38" s="39" t="n">
        <x:f>'Tasks'!F22</x:f>
        <x:v>3</x:v>
      </x:c>
      <x:c r="F38" s="39" t="n">
        <x:f>'Tasks'!K22</x:f>
        <x:v>14</x:v>
      </x:c>
      <x:c r="G38" s="39" t="n">
        <x:f>'Tasks'!L22</x:f>
        <x:v>16</x:v>
      </x:c>
      <x:c r="H38" s="39" t="n">
        <x:f>MAX(0,MIN($G38,5)-MAX($F38,1)+1)*$D38/$E38</x:f>
        <x:v>0</x:v>
      </x:c>
      <x:c r="I38" s="39" t="n">
        <x:f>MAX(0,MIN($G38,10)-MAX($F38,6)+1)*$D38/$E38</x:f>
        <x:v>0</x:v>
      </x:c>
      <x:c r="J38" s="39" t="n">
        <x:f>MAX(0,MIN($G38,15)-MAX($F38,11)+1)*$D38/$E38</x:f>
        <x:v>10.666666666666666</x:v>
      </x:c>
      <x:c r="K38" s="39" t="n">
        <x:f>MAX(0,MIN($G38,20)-MAX($F38,16)+1)*$D38/$E38</x:f>
        <x:v>5.333333333333333</x:v>
      </x:c>
      <x:c r="L38" s="39" t="n">
        <x:f>MAX(0,MIN($G38,25)-MAX($F38,21)+1)*$D38/$E38</x:f>
        <x:v>0</x:v>
      </x:c>
      <x:c r="M38" s="39" t="n">
        <x:f>MAX(0,MIN($G38,30)-MAX($F38,26)+1)*$D38/$E38</x:f>
        <x:v>0</x:v>
      </x:c>
      <x:c r="N38" s="39" t="n">
        <x:f>MAX(0,MIN($G38,35)-MAX($F38,31)+1)*$D38/$E38</x:f>
        <x:v>0</x:v>
      </x:c>
      <x:c r="O38" s="39" t="n">
        <x:f>MAX(0,MIN($G38,40)-MAX($F38,36)+1)*$D38/$E38</x:f>
        <x:v>0</x:v>
      </x:c>
      <x:c r="P38" s="39" t="n">
        <x:f>MAX(0,MIN($G38,45)-MAX($F38,41)+1)*$D38/$E38</x:f>
        <x:v>0</x:v>
      </x:c>
      <x:c r="Q38" s="39" t="n">
        <x:f>MAX(0,MIN($G38,50)-MAX($F38,46)+1)*$D38/$E38</x:f>
        <x:v>0</x:v>
      </x:c>
      <x:c r="R38" s="39" t="n">
        <x:f>MAX(0,MIN($G38,55)-MAX($F38,51)+1)*$D38/$E38</x:f>
        <x:v>0</x:v>
      </x:c>
      <x:c r="S38" s="39" t="n">
        <x:f>MAX(0,MIN($G38,60)-MAX($F38,56)+1)*$D38/$E38</x:f>
        <x:v>0</x:v>
      </x:c>
      <x:c r="T38" s="39" t="n">
        <x:f>MAX(0,MIN($G38,65)-MAX($F38,61)+1)*$D38/$E38</x:f>
        <x:v>0</x:v>
      </x:c>
      <x:c r="U38" s="39" t="n">
        <x:f>MAX(0,MIN($G38,70)-MAX($F38,66)+1)*$D38/$E38</x:f>
        <x:v>0</x:v>
      </x:c>
      <x:c r="V38" s="39" t="n">
        <x:f>MAX(0,MIN($G38,75)-MAX($F38,71)+1)*$D38/$E38</x:f>
        <x:v>0</x:v>
      </x:c>
      <x:c r="W38" s="39" t="n">
        <x:f>MAX(0,MIN($G38,80)-MAX($F38,76)+1)*$D38/$E38</x:f>
        <x:v>0</x:v>
      </x:c>
      <x:c r="X38" s="39" t="n">
        <x:f>MAX(0,MIN($G38,85)-MAX($F38,81)+1)*$D38/$E38</x:f>
        <x:v>0</x:v>
      </x:c>
      <x:c r="Y38" s="39" t="n">
        <x:f>MAX(0,MIN($G38,90)-MAX($F38,86)+1)*$D38/$E38</x:f>
        <x:v>0</x:v>
      </x:c>
      <x:c r="Z38" s="39" t="n">
        <x:f>MAX(0,MIN($G38,95)-MAX($F38,91)+1)*$D38/$E38</x:f>
        <x:v>0</x:v>
      </x:c>
      <x:c r="AA38" s="39" t="n">
        <x:f>MAX(0,MIN($G38,100)-MAX($F38,96)+1)*$D38/$E38</x:f>
        <x:v>0</x:v>
      </x:c>
      <x:c r="AB38" s="39" t="n">
        <x:f>MAX(0,MIN($G38,105)-MAX($F38,101)+1)*$D38/$E38</x:f>
        <x:v>0</x:v>
      </x:c>
      <x:c r="AC38" s="39" t="n">
        <x:f>MAX(0,MIN($G38,110)-MAX($F38,106)+1)*$D38/$E38</x:f>
        <x:v>0</x:v>
      </x:c>
      <x:c r="AD38" s="39" t="n">
        <x:f>MAX(0,MIN($G38,115)-MAX($F38,111)+1)*$D38/$E38</x:f>
        <x:v>0</x:v>
      </x:c>
      <x:c r="AE38" s="39" t="n">
        <x:f>MAX(0,MIN($G38,120)-MAX($F38,116)+1)*$D38/$E38</x:f>
        <x:v>0</x:v>
      </x:c>
      <x:c r="AF38" s="39" t="n">
        <x:f>MAX(0,MIN($G38,125)-MAX($F38,121)+1)*$D38/$E38</x:f>
        <x:v>0</x:v>
      </x:c>
      <x:c r="AG38" s="39" t="n">
        <x:f>MAX(0,MIN($G38,130)-MAX($F38,126)+1)*$D38/$E38</x:f>
        <x:v>0</x:v>
      </x:c>
      <x:c r="AH38" s="39" t="n">
        <x:f>MAX(0,MIN($G38,135)-MAX($F38,131)+1)*$D38/$E38</x:f>
        <x:v>0</x:v>
      </x:c>
      <x:c r="AI38" s="39" t="n">
        <x:f>MAX(0,MIN($G38,140)-MAX($F38,136)+1)*$D38/$E38</x:f>
        <x:v>0</x:v>
      </x:c>
      <x:c r="AJ38" s="39" t="n">
        <x:f>MAX(0,MIN($G38,145)-MAX($F38,141)+1)*$D38/$E38</x:f>
        <x:v>0</x:v>
      </x:c>
      <x:c r="AK38" s="39" t="n">
        <x:f>MAX(0,MIN($G38,150)-MAX($F38,146)+1)*$D38/$E38</x:f>
        <x:v>0</x:v>
      </x:c>
      <x:c r="AL38" s="39" t="n">
        <x:f>MAX(0,MIN($G38,155)-MAX($F38,151)+1)*$D38/$E38</x:f>
        <x:v>0</x:v>
      </x:c>
      <x:c r="AM38" s="39" t="n">
        <x:f>MAX(0,MIN($G38,160)-MAX($F38,156)+1)*$D38/$E38</x:f>
        <x:v>0</x:v>
      </x:c>
      <x:c r="AN38" s="39" t="n">
        <x:f>MAX(0,MIN($G38,165)-MAX($F38,161)+1)*$D38/$E38</x:f>
        <x:v>0</x:v>
      </x:c>
      <x:c r="AO38" s="39" t="n">
        <x:f>MAX(0,MIN($G38,170)-MAX($F38,166)+1)*$D38/$E38</x:f>
        <x:v>0</x:v>
      </x:c>
      <x:c r="AP38" s="39" t="n">
        <x:f>MAX(0,MIN($G38,175)-MAX($F38,171)+1)*$D38/$E38</x:f>
        <x:v>0</x:v>
      </x:c>
      <x:c r="AQ38" s="39" t="n">
        <x:f>MAX(0,MIN($G38,180)-MAX($F38,176)+1)*$D38/$E38</x:f>
        <x:v>0</x:v>
      </x:c>
    </x:row>
    <x:row r="39" ht="27" customHeight="1">
      <x:c r="A39" s="9" t="str">
        <x:v>C02</x:v>
      </x:c>
      <x:c r="B39" s="9" t="str">
        <x:f>'Tasks'!P22</x:f>
        <x:v>MD</x:v>
      </x:c>
      <x:c r="C39" s="9" t="str">
        <x:v>Review</x:v>
      </x:c>
      <x:c r="D39" s="40" t="n">
        <x:f>'Tasks'!Q22</x:f>
        <x:v>3</x:v>
      </x:c>
      <x:c r="E39" s="40" t="n">
        <x:f>'Tasks'!F22</x:f>
        <x:v>3</x:v>
      </x:c>
      <x:c r="F39" s="40" t="n">
        <x:f>'Tasks'!K22</x:f>
        <x:v>14</x:v>
      </x:c>
      <x:c r="G39" s="40" t="n">
        <x:f>'Tasks'!L22</x:f>
        <x:v>16</x:v>
      </x:c>
      <x:c r="H39" s="40" t="n">
        <x:f>MAX(0,MIN($G39,5)-MAX($F39,1)+1)*$D39/$E39</x:f>
        <x:v>0</x:v>
      </x:c>
      <x:c r="I39" s="40" t="n">
        <x:f>MAX(0,MIN($G39,10)-MAX($F39,6)+1)*$D39/$E39</x:f>
        <x:v>0</x:v>
      </x:c>
      <x:c r="J39" s="40" t="n">
        <x:f>MAX(0,MIN($G39,15)-MAX($F39,11)+1)*$D39/$E39</x:f>
        <x:v>2</x:v>
      </x:c>
      <x:c r="K39" s="40" t="n">
        <x:f>MAX(0,MIN($G39,20)-MAX($F39,16)+1)*$D39/$E39</x:f>
        <x:v>1</x:v>
      </x:c>
      <x:c r="L39" s="40" t="n">
        <x:f>MAX(0,MIN($G39,25)-MAX($F39,21)+1)*$D39/$E39</x:f>
        <x:v>0</x:v>
      </x:c>
      <x:c r="M39" s="40" t="n">
        <x:f>MAX(0,MIN($G39,30)-MAX($F39,26)+1)*$D39/$E39</x:f>
        <x:v>0</x:v>
      </x:c>
      <x:c r="N39" s="40" t="n">
        <x:f>MAX(0,MIN($G39,35)-MAX($F39,31)+1)*$D39/$E39</x:f>
        <x:v>0</x:v>
      </x:c>
      <x:c r="O39" s="40" t="n">
        <x:f>MAX(0,MIN($G39,40)-MAX($F39,36)+1)*$D39/$E39</x:f>
        <x:v>0</x:v>
      </x:c>
      <x:c r="P39" s="40" t="n">
        <x:f>MAX(0,MIN($G39,45)-MAX($F39,41)+1)*$D39/$E39</x:f>
        <x:v>0</x:v>
      </x:c>
      <x:c r="Q39" s="40" t="n">
        <x:f>MAX(0,MIN($G39,50)-MAX($F39,46)+1)*$D39/$E39</x:f>
        <x:v>0</x:v>
      </x:c>
      <x:c r="R39" s="40" t="n">
        <x:f>MAX(0,MIN($G39,55)-MAX($F39,51)+1)*$D39/$E39</x:f>
        <x:v>0</x:v>
      </x:c>
      <x:c r="S39" s="40" t="n">
        <x:f>MAX(0,MIN($G39,60)-MAX($F39,56)+1)*$D39/$E39</x:f>
        <x:v>0</x:v>
      </x:c>
      <x:c r="T39" s="40" t="n">
        <x:f>MAX(0,MIN($G39,65)-MAX($F39,61)+1)*$D39/$E39</x:f>
        <x:v>0</x:v>
      </x:c>
      <x:c r="U39" s="40" t="n">
        <x:f>MAX(0,MIN($G39,70)-MAX($F39,66)+1)*$D39/$E39</x:f>
        <x:v>0</x:v>
      </x:c>
      <x:c r="V39" s="40" t="n">
        <x:f>MAX(0,MIN($G39,75)-MAX($F39,71)+1)*$D39/$E39</x:f>
        <x:v>0</x:v>
      </x:c>
      <x:c r="W39" s="40" t="n">
        <x:f>MAX(0,MIN($G39,80)-MAX($F39,76)+1)*$D39/$E39</x:f>
        <x:v>0</x:v>
      </x:c>
      <x:c r="X39" s="40" t="n">
        <x:f>MAX(0,MIN($G39,85)-MAX($F39,81)+1)*$D39/$E39</x:f>
        <x:v>0</x:v>
      </x:c>
      <x:c r="Y39" s="40" t="n">
        <x:f>MAX(0,MIN($G39,90)-MAX($F39,86)+1)*$D39/$E39</x:f>
        <x:v>0</x:v>
      </x:c>
      <x:c r="Z39" s="40" t="n">
        <x:f>MAX(0,MIN($G39,95)-MAX($F39,91)+1)*$D39/$E39</x:f>
        <x:v>0</x:v>
      </x:c>
      <x:c r="AA39" s="40" t="n">
        <x:f>MAX(0,MIN($G39,100)-MAX($F39,96)+1)*$D39/$E39</x:f>
        <x:v>0</x:v>
      </x:c>
      <x:c r="AB39" s="40" t="n">
        <x:f>MAX(0,MIN($G39,105)-MAX($F39,101)+1)*$D39/$E39</x:f>
        <x:v>0</x:v>
      </x:c>
      <x:c r="AC39" s="40" t="n">
        <x:f>MAX(0,MIN($G39,110)-MAX($F39,106)+1)*$D39/$E39</x:f>
        <x:v>0</x:v>
      </x:c>
      <x:c r="AD39" s="40" t="n">
        <x:f>MAX(0,MIN($G39,115)-MAX($F39,111)+1)*$D39/$E39</x:f>
        <x:v>0</x:v>
      </x:c>
      <x:c r="AE39" s="40" t="n">
        <x:f>MAX(0,MIN($G39,120)-MAX($F39,116)+1)*$D39/$E39</x:f>
        <x:v>0</x:v>
      </x:c>
      <x:c r="AF39" s="40" t="n">
        <x:f>MAX(0,MIN($G39,125)-MAX($F39,121)+1)*$D39/$E39</x:f>
        <x:v>0</x:v>
      </x:c>
      <x:c r="AG39" s="40" t="n">
        <x:f>MAX(0,MIN($G39,130)-MAX($F39,126)+1)*$D39/$E39</x:f>
        <x:v>0</x:v>
      </x:c>
      <x:c r="AH39" s="40" t="n">
        <x:f>MAX(0,MIN($G39,135)-MAX($F39,131)+1)*$D39/$E39</x:f>
        <x:v>0</x:v>
      </x:c>
      <x:c r="AI39" s="40" t="n">
        <x:f>MAX(0,MIN($G39,140)-MAX($F39,136)+1)*$D39/$E39</x:f>
        <x:v>0</x:v>
      </x:c>
      <x:c r="AJ39" s="40" t="n">
        <x:f>MAX(0,MIN($G39,145)-MAX($F39,141)+1)*$D39/$E39</x:f>
        <x:v>0</x:v>
      </x:c>
      <x:c r="AK39" s="40" t="n">
        <x:f>MAX(0,MIN($G39,150)-MAX($F39,146)+1)*$D39/$E39</x:f>
        <x:v>0</x:v>
      </x:c>
      <x:c r="AL39" s="40" t="n">
        <x:f>MAX(0,MIN($G39,155)-MAX($F39,151)+1)*$D39/$E39</x:f>
        <x:v>0</x:v>
      </x:c>
      <x:c r="AM39" s="40" t="n">
        <x:f>MAX(0,MIN($G39,160)-MAX($F39,156)+1)*$D39/$E39</x:f>
        <x:v>0</x:v>
      </x:c>
      <x:c r="AN39" s="40" t="n">
        <x:f>MAX(0,MIN($G39,165)-MAX($F39,161)+1)*$D39/$E39</x:f>
        <x:v>0</x:v>
      </x:c>
      <x:c r="AO39" s="40" t="n">
        <x:f>MAX(0,MIN($G39,170)-MAX($F39,166)+1)*$D39/$E39</x:f>
        <x:v>0</x:v>
      </x:c>
      <x:c r="AP39" s="40" t="n">
        <x:f>MAX(0,MIN($G39,175)-MAX($F39,171)+1)*$D39/$E39</x:f>
        <x:v>0</x:v>
      </x:c>
      <x:c r="AQ39" s="40" t="n">
        <x:f>MAX(0,MIN($G39,180)-MAX($F39,176)+1)*$D39/$E39</x:f>
        <x:v>0</x:v>
      </x:c>
    </x:row>
    <x:row r="40" ht="27" customHeight="1">
      <x:c r="A40" s="10" t="str">
        <x:v>C03</x:v>
      </x:c>
      <x:c r="B40" s="10" t="str">
        <x:f>'Tasks'!D23</x:f>
        <x:v>AI</x:v>
      </x:c>
      <x:c r="C40" s="10" t="str">
        <x:v>Owner</x:v>
      </x:c>
      <x:c r="D40" s="39" t="n">
        <x:f>'Tasks'!O23</x:f>
        <x:v>20</x:v>
      </x:c>
      <x:c r="E40" s="39" t="n">
        <x:f>'Tasks'!F23</x:f>
        <x:v>3</x:v>
      </x:c>
      <x:c r="F40" s="39" t="n">
        <x:f>'Tasks'!K23</x:f>
        <x:v>18</x:v>
      </x:c>
      <x:c r="G40" s="39" t="n">
        <x:f>'Tasks'!L23</x:f>
        <x:v>20</x:v>
      </x:c>
      <x:c r="H40" s="39" t="n">
        <x:f>MAX(0,MIN($G40,5)-MAX($F40,1)+1)*$D40/$E40</x:f>
        <x:v>0</x:v>
      </x:c>
      <x:c r="I40" s="39" t="n">
        <x:f>MAX(0,MIN($G40,10)-MAX($F40,6)+1)*$D40/$E40</x:f>
        <x:v>0</x:v>
      </x:c>
      <x:c r="J40" s="39" t="n">
        <x:f>MAX(0,MIN($G40,15)-MAX($F40,11)+1)*$D40/$E40</x:f>
        <x:v>0</x:v>
      </x:c>
      <x:c r="K40" s="39" t="n">
        <x:f>MAX(0,MIN($G40,20)-MAX($F40,16)+1)*$D40/$E40</x:f>
        <x:v>20</x:v>
      </x:c>
      <x:c r="L40" s="39" t="n">
        <x:f>MAX(0,MIN($G40,25)-MAX($F40,21)+1)*$D40/$E40</x:f>
        <x:v>0</x:v>
      </x:c>
      <x:c r="M40" s="39" t="n">
        <x:f>MAX(0,MIN($G40,30)-MAX($F40,26)+1)*$D40/$E40</x:f>
        <x:v>0</x:v>
      </x:c>
      <x:c r="N40" s="39" t="n">
        <x:f>MAX(0,MIN($G40,35)-MAX($F40,31)+1)*$D40/$E40</x:f>
        <x:v>0</x:v>
      </x:c>
      <x:c r="O40" s="39" t="n">
        <x:f>MAX(0,MIN($G40,40)-MAX($F40,36)+1)*$D40/$E40</x:f>
        <x:v>0</x:v>
      </x:c>
      <x:c r="P40" s="39" t="n">
        <x:f>MAX(0,MIN($G40,45)-MAX($F40,41)+1)*$D40/$E40</x:f>
        <x:v>0</x:v>
      </x:c>
      <x:c r="Q40" s="39" t="n">
        <x:f>MAX(0,MIN($G40,50)-MAX($F40,46)+1)*$D40/$E40</x:f>
        <x:v>0</x:v>
      </x:c>
      <x:c r="R40" s="39" t="n">
        <x:f>MAX(0,MIN($G40,55)-MAX($F40,51)+1)*$D40/$E40</x:f>
        <x:v>0</x:v>
      </x:c>
      <x:c r="S40" s="39" t="n">
        <x:f>MAX(0,MIN($G40,60)-MAX($F40,56)+1)*$D40/$E40</x:f>
        <x:v>0</x:v>
      </x:c>
      <x:c r="T40" s="39" t="n">
        <x:f>MAX(0,MIN($G40,65)-MAX($F40,61)+1)*$D40/$E40</x:f>
        <x:v>0</x:v>
      </x:c>
      <x:c r="U40" s="39" t="n">
        <x:f>MAX(0,MIN($G40,70)-MAX($F40,66)+1)*$D40/$E40</x:f>
        <x:v>0</x:v>
      </x:c>
      <x:c r="V40" s="39" t="n">
        <x:f>MAX(0,MIN($G40,75)-MAX($F40,71)+1)*$D40/$E40</x:f>
        <x:v>0</x:v>
      </x:c>
      <x:c r="W40" s="39" t="n">
        <x:f>MAX(0,MIN($G40,80)-MAX($F40,76)+1)*$D40/$E40</x:f>
        <x:v>0</x:v>
      </x:c>
      <x:c r="X40" s="39" t="n">
        <x:f>MAX(0,MIN($G40,85)-MAX($F40,81)+1)*$D40/$E40</x:f>
        <x:v>0</x:v>
      </x:c>
      <x:c r="Y40" s="39" t="n">
        <x:f>MAX(0,MIN($G40,90)-MAX($F40,86)+1)*$D40/$E40</x:f>
        <x:v>0</x:v>
      </x:c>
      <x:c r="Z40" s="39" t="n">
        <x:f>MAX(0,MIN($G40,95)-MAX($F40,91)+1)*$D40/$E40</x:f>
        <x:v>0</x:v>
      </x:c>
      <x:c r="AA40" s="39" t="n">
        <x:f>MAX(0,MIN($G40,100)-MAX($F40,96)+1)*$D40/$E40</x:f>
        <x:v>0</x:v>
      </x:c>
      <x:c r="AB40" s="39" t="n">
        <x:f>MAX(0,MIN($G40,105)-MAX($F40,101)+1)*$D40/$E40</x:f>
        <x:v>0</x:v>
      </x:c>
      <x:c r="AC40" s="39" t="n">
        <x:f>MAX(0,MIN($G40,110)-MAX($F40,106)+1)*$D40/$E40</x:f>
        <x:v>0</x:v>
      </x:c>
      <x:c r="AD40" s="39" t="n">
        <x:f>MAX(0,MIN($G40,115)-MAX($F40,111)+1)*$D40/$E40</x:f>
        <x:v>0</x:v>
      </x:c>
      <x:c r="AE40" s="39" t="n">
        <x:f>MAX(0,MIN($G40,120)-MAX($F40,116)+1)*$D40/$E40</x:f>
        <x:v>0</x:v>
      </x:c>
      <x:c r="AF40" s="39" t="n">
        <x:f>MAX(0,MIN($G40,125)-MAX($F40,121)+1)*$D40/$E40</x:f>
        <x:v>0</x:v>
      </x:c>
      <x:c r="AG40" s="39" t="n">
        <x:f>MAX(0,MIN($G40,130)-MAX($F40,126)+1)*$D40/$E40</x:f>
        <x:v>0</x:v>
      </x:c>
      <x:c r="AH40" s="39" t="n">
        <x:f>MAX(0,MIN($G40,135)-MAX($F40,131)+1)*$D40/$E40</x:f>
        <x:v>0</x:v>
      </x:c>
      <x:c r="AI40" s="39" t="n">
        <x:f>MAX(0,MIN($G40,140)-MAX($F40,136)+1)*$D40/$E40</x:f>
        <x:v>0</x:v>
      </x:c>
      <x:c r="AJ40" s="39" t="n">
        <x:f>MAX(0,MIN($G40,145)-MAX($F40,141)+1)*$D40/$E40</x:f>
        <x:v>0</x:v>
      </x:c>
      <x:c r="AK40" s="39" t="n">
        <x:f>MAX(0,MIN($G40,150)-MAX($F40,146)+1)*$D40/$E40</x:f>
        <x:v>0</x:v>
      </x:c>
      <x:c r="AL40" s="39" t="n">
        <x:f>MAX(0,MIN($G40,155)-MAX($F40,151)+1)*$D40/$E40</x:f>
        <x:v>0</x:v>
      </x:c>
      <x:c r="AM40" s="39" t="n">
        <x:f>MAX(0,MIN($G40,160)-MAX($F40,156)+1)*$D40/$E40</x:f>
        <x:v>0</x:v>
      </x:c>
      <x:c r="AN40" s="39" t="n">
        <x:f>MAX(0,MIN($G40,165)-MAX($F40,161)+1)*$D40/$E40</x:f>
        <x:v>0</x:v>
      </x:c>
      <x:c r="AO40" s="39" t="n">
        <x:f>MAX(0,MIN($G40,170)-MAX($F40,166)+1)*$D40/$E40</x:f>
        <x:v>0</x:v>
      </x:c>
      <x:c r="AP40" s="39" t="n">
        <x:f>MAX(0,MIN($G40,175)-MAX($F40,171)+1)*$D40/$E40</x:f>
        <x:v>0</x:v>
      </x:c>
      <x:c r="AQ40" s="39" t="n">
        <x:f>MAX(0,MIN($G40,180)-MAX($F40,176)+1)*$D40/$E40</x:f>
        <x:v>0</x:v>
      </x:c>
    </x:row>
    <x:row r="41" ht="27" customHeight="1">
      <x:c r="A41" s="9" t="str">
        <x:v>C03</x:v>
      </x:c>
      <x:c r="B41" s="9" t="str">
        <x:f>'Tasks'!P23</x:f>
        <x:v>KE</x:v>
      </x:c>
      <x:c r="C41" s="9" t="str">
        <x:v>Review</x:v>
      </x:c>
      <x:c r="D41" s="40" t="n">
        <x:f>'Tasks'!Q23</x:f>
        <x:v>6</x:v>
      </x:c>
      <x:c r="E41" s="40" t="n">
        <x:f>'Tasks'!F23</x:f>
        <x:v>3</x:v>
      </x:c>
      <x:c r="F41" s="40" t="n">
        <x:f>'Tasks'!K23</x:f>
        <x:v>18</x:v>
      </x:c>
      <x:c r="G41" s="40" t="n">
        <x:f>'Tasks'!L23</x:f>
        <x:v>20</x:v>
      </x:c>
      <x:c r="H41" s="40" t="n">
        <x:f>MAX(0,MIN($G41,5)-MAX($F41,1)+1)*$D41/$E41</x:f>
        <x:v>0</x:v>
      </x:c>
      <x:c r="I41" s="40" t="n">
        <x:f>MAX(0,MIN($G41,10)-MAX($F41,6)+1)*$D41/$E41</x:f>
        <x:v>0</x:v>
      </x:c>
      <x:c r="J41" s="40" t="n">
        <x:f>MAX(0,MIN($G41,15)-MAX($F41,11)+1)*$D41/$E41</x:f>
        <x:v>0</x:v>
      </x:c>
      <x:c r="K41" s="40" t="n">
        <x:f>MAX(0,MIN($G41,20)-MAX($F41,16)+1)*$D41/$E41</x:f>
        <x:v>6</x:v>
      </x:c>
      <x:c r="L41" s="40" t="n">
        <x:f>MAX(0,MIN($G41,25)-MAX($F41,21)+1)*$D41/$E41</x:f>
        <x:v>0</x:v>
      </x:c>
      <x:c r="M41" s="40" t="n">
        <x:f>MAX(0,MIN($G41,30)-MAX($F41,26)+1)*$D41/$E41</x:f>
        <x:v>0</x:v>
      </x:c>
      <x:c r="N41" s="40" t="n">
        <x:f>MAX(0,MIN($G41,35)-MAX($F41,31)+1)*$D41/$E41</x:f>
        <x:v>0</x:v>
      </x:c>
      <x:c r="O41" s="40" t="n">
        <x:f>MAX(0,MIN($G41,40)-MAX($F41,36)+1)*$D41/$E41</x:f>
        <x:v>0</x:v>
      </x:c>
      <x:c r="P41" s="40" t="n">
        <x:f>MAX(0,MIN($G41,45)-MAX($F41,41)+1)*$D41/$E41</x:f>
        <x:v>0</x:v>
      </x:c>
      <x:c r="Q41" s="40" t="n">
        <x:f>MAX(0,MIN($G41,50)-MAX($F41,46)+1)*$D41/$E41</x:f>
        <x:v>0</x:v>
      </x:c>
      <x:c r="R41" s="40" t="n">
        <x:f>MAX(0,MIN($G41,55)-MAX($F41,51)+1)*$D41/$E41</x:f>
        <x:v>0</x:v>
      </x:c>
      <x:c r="S41" s="40" t="n">
        <x:f>MAX(0,MIN($G41,60)-MAX($F41,56)+1)*$D41/$E41</x:f>
        <x:v>0</x:v>
      </x:c>
      <x:c r="T41" s="40" t="n">
        <x:f>MAX(0,MIN($G41,65)-MAX($F41,61)+1)*$D41/$E41</x:f>
        <x:v>0</x:v>
      </x:c>
      <x:c r="U41" s="40" t="n">
        <x:f>MAX(0,MIN($G41,70)-MAX($F41,66)+1)*$D41/$E41</x:f>
        <x:v>0</x:v>
      </x:c>
      <x:c r="V41" s="40" t="n">
        <x:f>MAX(0,MIN($G41,75)-MAX($F41,71)+1)*$D41/$E41</x:f>
        <x:v>0</x:v>
      </x:c>
      <x:c r="W41" s="40" t="n">
        <x:f>MAX(0,MIN($G41,80)-MAX($F41,76)+1)*$D41/$E41</x:f>
        <x:v>0</x:v>
      </x:c>
      <x:c r="X41" s="40" t="n">
        <x:f>MAX(0,MIN($G41,85)-MAX($F41,81)+1)*$D41/$E41</x:f>
        <x:v>0</x:v>
      </x:c>
      <x:c r="Y41" s="40" t="n">
        <x:f>MAX(0,MIN($G41,90)-MAX($F41,86)+1)*$D41/$E41</x:f>
        <x:v>0</x:v>
      </x:c>
      <x:c r="Z41" s="40" t="n">
        <x:f>MAX(0,MIN($G41,95)-MAX($F41,91)+1)*$D41/$E41</x:f>
        <x:v>0</x:v>
      </x:c>
      <x:c r="AA41" s="40" t="n">
        <x:f>MAX(0,MIN($G41,100)-MAX($F41,96)+1)*$D41/$E41</x:f>
        <x:v>0</x:v>
      </x:c>
      <x:c r="AB41" s="40" t="n">
        <x:f>MAX(0,MIN($G41,105)-MAX($F41,101)+1)*$D41/$E41</x:f>
        <x:v>0</x:v>
      </x:c>
      <x:c r="AC41" s="40" t="n">
        <x:f>MAX(0,MIN($G41,110)-MAX($F41,106)+1)*$D41/$E41</x:f>
        <x:v>0</x:v>
      </x:c>
      <x:c r="AD41" s="40" t="n">
        <x:f>MAX(0,MIN($G41,115)-MAX($F41,111)+1)*$D41/$E41</x:f>
        <x:v>0</x:v>
      </x:c>
      <x:c r="AE41" s="40" t="n">
        <x:f>MAX(0,MIN($G41,120)-MAX($F41,116)+1)*$D41/$E41</x:f>
        <x:v>0</x:v>
      </x:c>
      <x:c r="AF41" s="40" t="n">
        <x:f>MAX(0,MIN($G41,125)-MAX($F41,121)+1)*$D41/$E41</x:f>
        <x:v>0</x:v>
      </x:c>
      <x:c r="AG41" s="40" t="n">
        <x:f>MAX(0,MIN($G41,130)-MAX($F41,126)+1)*$D41/$E41</x:f>
        <x:v>0</x:v>
      </x:c>
      <x:c r="AH41" s="40" t="n">
        <x:f>MAX(0,MIN($G41,135)-MAX($F41,131)+1)*$D41/$E41</x:f>
        <x:v>0</x:v>
      </x:c>
      <x:c r="AI41" s="40" t="n">
        <x:f>MAX(0,MIN($G41,140)-MAX($F41,136)+1)*$D41/$E41</x:f>
        <x:v>0</x:v>
      </x:c>
      <x:c r="AJ41" s="40" t="n">
        <x:f>MAX(0,MIN($G41,145)-MAX($F41,141)+1)*$D41/$E41</x:f>
        <x:v>0</x:v>
      </x:c>
      <x:c r="AK41" s="40" t="n">
        <x:f>MAX(0,MIN($G41,150)-MAX($F41,146)+1)*$D41/$E41</x:f>
        <x:v>0</x:v>
      </x:c>
      <x:c r="AL41" s="40" t="n">
        <x:f>MAX(0,MIN($G41,155)-MAX($F41,151)+1)*$D41/$E41</x:f>
        <x:v>0</x:v>
      </x:c>
      <x:c r="AM41" s="40" t="n">
        <x:f>MAX(0,MIN($G41,160)-MAX($F41,156)+1)*$D41/$E41</x:f>
        <x:v>0</x:v>
      </x:c>
      <x:c r="AN41" s="40" t="n">
        <x:f>MAX(0,MIN($G41,165)-MAX($F41,161)+1)*$D41/$E41</x:f>
        <x:v>0</x:v>
      </x:c>
      <x:c r="AO41" s="40" t="n">
        <x:f>MAX(0,MIN($G41,170)-MAX($F41,166)+1)*$D41/$E41</x:f>
        <x:v>0</x:v>
      </x:c>
      <x:c r="AP41" s="40" t="n">
        <x:f>MAX(0,MIN($G41,175)-MAX($F41,171)+1)*$D41/$E41</x:f>
        <x:v>0</x:v>
      </x:c>
      <x:c r="AQ41" s="40" t="n">
        <x:f>MAX(0,MIN($G41,180)-MAX($F41,176)+1)*$D41/$E41</x:f>
        <x:v>0</x:v>
      </x:c>
    </x:row>
    <x:row r="42" ht="27" customHeight="1">
      <x:c r="A42" s="10" t="str">
        <x:v>C04</x:v>
      </x:c>
      <x:c r="B42" s="10" t="str">
        <x:f>'Tasks'!D24</x:f>
        <x:v>OPS</x:v>
      </x:c>
      <x:c r="C42" s="10" t="str">
        <x:v>Owner</x:v>
      </x:c>
      <x:c r="D42" s="39" t="n">
        <x:f>'Tasks'!O24</x:f>
        <x:v>24</x:v>
      </x:c>
      <x:c r="E42" s="39" t="n">
        <x:f>'Tasks'!F24</x:f>
        <x:v>4</x:v>
      </x:c>
      <x:c r="F42" s="39" t="n">
        <x:f>'Tasks'!K24</x:f>
        <x:v>18</x:v>
      </x:c>
      <x:c r="G42" s="39" t="n">
        <x:f>'Tasks'!L24</x:f>
        <x:v>21</x:v>
      </x:c>
      <x:c r="H42" s="39" t="n">
        <x:f>MAX(0,MIN($G42,5)-MAX($F42,1)+1)*$D42/$E42</x:f>
        <x:v>0</x:v>
      </x:c>
      <x:c r="I42" s="39" t="n">
        <x:f>MAX(0,MIN($G42,10)-MAX($F42,6)+1)*$D42/$E42</x:f>
        <x:v>0</x:v>
      </x:c>
      <x:c r="J42" s="39" t="n">
        <x:f>MAX(0,MIN($G42,15)-MAX($F42,11)+1)*$D42/$E42</x:f>
        <x:v>0</x:v>
      </x:c>
      <x:c r="K42" s="39" t="n">
        <x:f>MAX(0,MIN($G42,20)-MAX($F42,16)+1)*$D42/$E42</x:f>
        <x:v>18</x:v>
      </x:c>
      <x:c r="L42" s="39" t="n">
        <x:f>MAX(0,MIN($G42,25)-MAX($F42,21)+1)*$D42/$E42</x:f>
        <x:v>6</x:v>
      </x:c>
      <x:c r="M42" s="39" t="n">
        <x:f>MAX(0,MIN($G42,30)-MAX($F42,26)+1)*$D42/$E42</x:f>
        <x:v>0</x:v>
      </x:c>
      <x:c r="N42" s="39" t="n">
        <x:f>MAX(0,MIN($G42,35)-MAX($F42,31)+1)*$D42/$E42</x:f>
        <x:v>0</x:v>
      </x:c>
      <x:c r="O42" s="39" t="n">
        <x:f>MAX(0,MIN($G42,40)-MAX($F42,36)+1)*$D42/$E42</x:f>
        <x:v>0</x:v>
      </x:c>
      <x:c r="P42" s="39" t="n">
        <x:f>MAX(0,MIN($G42,45)-MAX($F42,41)+1)*$D42/$E42</x:f>
        <x:v>0</x:v>
      </x:c>
      <x:c r="Q42" s="39" t="n">
        <x:f>MAX(0,MIN($G42,50)-MAX($F42,46)+1)*$D42/$E42</x:f>
        <x:v>0</x:v>
      </x:c>
      <x:c r="R42" s="39" t="n">
        <x:f>MAX(0,MIN($G42,55)-MAX($F42,51)+1)*$D42/$E42</x:f>
        <x:v>0</x:v>
      </x:c>
      <x:c r="S42" s="39" t="n">
        <x:f>MAX(0,MIN($G42,60)-MAX($F42,56)+1)*$D42/$E42</x:f>
        <x:v>0</x:v>
      </x:c>
      <x:c r="T42" s="39" t="n">
        <x:f>MAX(0,MIN($G42,65)-MAX($F42,61)+1)*$D42/$E42</x:f>
        <x:v>0</x:v>
      </x:c>
      <x:c r="U42" s="39" t="n">
        <x:f>MAX(0,MIN($G42,70)-MAX($F42,66)+1)*$D42/$E42</x:f>
        <x:v>0</x:v>
      </x:c>
      <x:c r="V42" s="39" t="n">
        <x:f>MAX(0,MIN($G42,75)-MAX($F42,71)+1)*$D42/$E42</x:f>
        <x:v>0</x:v>
      </x:c>
      <x:c r="W42" s="39" t="n">
        <x:f>MAX(0,MIN($G42,80)-MAX($F42,76)+1)*$D42/$E42</x:f>
        <x:v>0</x:v>
      </x:c>
      <x:c r="X42" s="39" t="n">
        <x:f>MAX(0,MIN($G42,85)-MAX($F42,81)+1)*$D42/$E42</x:f>
        <x:v>0</x:v>
      </x:c>
      <x:c r="Y42" s="39" t="n">
        <x:f>MAX(0,MIN($G42,90)-MAX($F42,86)+1)*$D42/$E42</x:f>
        <x:v>0</x:v>
      </x:c>
      <x:c r="Z42" s="39" t="n">
        <x:f>MAX(0,MIN($G42,95)-MAX($F42,91)+1)*$D42/$E42</x:f>
        <x:v>0</x:v>
      </x:c>
      <x:c r="AA42" s="39" t="n">
        <x:f>MAX(0,MIN($G42,100)-MAX($F42,96)+1)*$D42/$E42</x:f>
        <x:v>0</x:v>
      </x:c>
      <x:c r="AB42" s="39" t="n">
        <x:f>MAX(0,MIN($G42,105)-MAX($F42,101)+1)*$D42/$E42</x:f>
        <x:v>0</x:v>
      </x:c>
      <x:c r="AC42" s="39" t="n">
        <x:f>MAX(0,MIN($G42,110)-MAX($F42,106)+1)*$D42/$E42</x:f>
        <x:v>0</x:v>
      </x:c>
      <x:c r="AD42" s="39" t="n">
        <x:f>MAX(0,MIN($G42,115)-MAX($F42,111)+1)*$D42/$E42</x:f>
        <x:v>0</x:v>
      </x:c>
      <x:c r="AE42" s="39" t="n">
        <x:f>MAX(0,MIN($G42,120)-MAX($F42,116)+1)*$D42/$E42</x:f>
        <x:v>0</x:v>
      </x:c>
      <x:c r="AF42" s="39" t="n">
        <x:f>MAX(0,MIN($G42,125)-MAX($F42,121)+1)*$D42/$E42</x:f>
        <x:v>0</x:v>
      </x:c>
      <x:c r="AG42" s="39" t="n">
        <x:f>MAX(0,MIN($G42,130)-MAX($F42,126)+1)*$D42/$E42</x:f>
        <x:v>0</x:v>
      </x:c>
      <x:c r="AH42" s="39" t="n">
        <x:f>MAX(0,MIN($G42,135)-MAX($F42,131)+1)*$D42/$E42</x:f>
        <x:v>0</x:v>
      </x:c>
      <x:c r="AI42" s="39" t="n">
        <x:f>MAX(0,MIN($G42,140)-MAX($F42,136)+1)*$D42/$E42</x:f>
        <x:v>0</x:v>
      </x:c>
      <x:c r="AJ42" s="39" t="n">
        <x:f>MAX(0,MIN($G42,145)-MAX($F42,141)+1)*$D42/$E42</x:f>
        <x:v>0</x:v>
      </x:c>
      <x:c r="AK42" s="39" t="n">
        <x:f>MAX(0,MIN($G42,150)-MAX($F42,146)+1)*$D42/$E42</x:f>
        <x:v>0</x:v>
      </x:c>
      <x:c r="AL42" s="39" t="n">
        <x:f>MAX(0,MIN($G42,155)-MAX($F42,151)+1)*$D42/$E42</x:f>
        <x:v>0</x:v>
      </x:c>
      <x:c r="AM42" s="39" t="n">
        <x:f>MAX(0,MIN($G42,160)-MAX($F42,156)+1)*$D42/$E42</x:f>
        <x:v>0</x:v>
      </x:c>
      <x:c r="AN42" s="39" t="n">
        <x:f>MAX(0,MIN($G42,165)-MAX($F42,161)+1)*$D42/$E42</x:f>
        <x:v>0</x:v>
      </x:c>
      <x:c r="AO42" s="39" t="n">
        <x:f>MAX(0,MIN($G42,170)-MAX($F42,166)+1)*$D42/$E42</x:f>
        <x:v>0</x:v>
      </x:c>
      <x:c r="AP42" s="39" t="n">
        <x:f>MAX(0,MIN($G42,175)-MAX($F42,171)+1)*$D42/$E42</x:f>
        <x:v>0</x:v>
      </x:c>
      <x:c r="AQ42" s="39" t="n">
        <x:f>MAX(0,MIN($G42,180)-MAX($F42,176)+1)*$D42/$E42</x:f>
        <x:v>0</x:v>
      </x:c>
    </x:row>
    <x:row r="43" ht="27" customHeight="1">
      <x:c r="A43" s="9" t="str">
        <x:v>C04</x:v>
      </x:c>
      <x:c r="B43" s="9" t="str">
        <x:f>'Tasks'!P24</x:f>
        <x:v>PAE</x:v>
      </x:c>
      <x:c r="C43" s="9" t="str">
        <x:v>Review</x:v>
      </x:c>
      <x:c r="D43" s="40" t="n">
        <x:f>'Tasks'!Q24</x:f>
        <x:v>8</x:v>
      </x:c>
      <x:c r="E43" s="40" t="n">
        <x:f>'Tasks'!F24</x:f>
        <x:v>4</x:v>
      </x:c>
      <x:c r="F43" s="40" t="n">
        <x:f>'Tasks'!K24</x:f>
        <x:v>18</x:v>
      </x:c>
      <x:c r="G43" s="40" t="n">
        <x:f>'Tasks'!L24</x:f>
        <x:v>21</x:v>
      </x:c>
      <x:c r="H43" s="40" t="n">
        <x:f>MAX(0,MIN($G43,5)-MAX($F43,1)+1)*$D43/$E43</x:f>
        <x:v>0</x:v>
      </x:c>
      <x:c r="I43" s="40" t="n">
        <x:f>MAX(0,MIN($G43,10)-MAX($F43,6)+1)*$D43/$E43</x:f>
        <x:v>0</x:v>
      </x:c>
      <x:c r="J43" s="40" t="n">
        <x:f>MAX(0,MIN($G43,15)-MAX($F43,11)+1)*$D43/$E43</x:f>
        <x:v>0</x:v>
      </x:c>
      <x:c r="K43" s="40" t="n">
        <x:f>MAX(0,MIN($G43,20)-MAX($F43,16)+1)*$D43/$E43</x:f>
        <x:v>6</x:v>
      </x:c>
      <x:c r="L43" s="40" t="n">
        <x:f>MAX(0,MIN($G43,25)-MAX($F43,21)+1)*$D43/$E43</x:f>
        <x:v>2</x:v>
      </x:c>
      <x:c r="M43" s="40" t="n">
        <x:f>MAX(0,MIN($G43,30)-MAX($F43,26)+1)*$D43/$E43</x:f>
        <x:v>0</x:v>
      </x:c>
      <x:c r="N43" s="40" t="n">
        <x:f>MAX(0,MIN($G43,35)-MAX($F43,31)+1)*$D43/$E43</x:f>
        <x:v>0</x:v>
      </x:c>
      <x:c r="O43" s="40" t="n">
        <x:f>MAX(0,MIN($G43,40)-MAX($F43,36)+1)*$D43/$E43</x:f>
        <x:v>0</x:v>
      </x:c>
      <x:c r="P43" s="40" t="n">
        <x:f>MAX(0,MIN($G43,45)-MAX($F43,41)+1)*$D43/$E43</x:f>
        <x:v>0</x:v>
      </x:c>
      <x:c r="Q43" s="40" t="n">
        <x:f>MAX(0,MIN($G43,50)-MAX($F43,46)+1)*$D43/$E43</x:f>
        <x:v>0</x:v>
      </x:c>
      <x:c r="R43" s="40" t="n">
        <x:f>MAX(0,MIN($G43,55)-MAX($F43,51)+1)*$D43/$E43</x:f>
        <x:v>0</x:v>
      </x:c>
      <x:c r="S43" s="40" t="n">
        <x:f>MAX(0,MIN($G43,60)-MAX($F43,56)+1)*$D43/$E43</x:f>
        <x:v>0</x:v>
      </x:c>
      <x:c r="T43" s="40" t="n">
        <x:f>MAX(0,MIN($G43,65)-MAX($F43,61)+1)*$D43/$E43</x:f>
        <x:v>0</x:v>
      </x:c>
      <x:c r="U43" s="40" t="n">
        <x:f>MAX(0,MIN($G43,70)-MAX($F43,66)+1)*$D43/$E43</x:f>
        <x:v>0</x:v>
      </x:c>
      <x:c r="V43" s="40" t="n">
        <x:f>MAX(0,MIN($G43,75)-MAX($F43,71)+1)*$D43/$E43</x:f>
        <x:v>0</x:v>
      </x:c>
      <x:c r="W43" s="40" t="n">
        <x:f>MAX(0,MIN($G43,80)-MAX($F43,76)+1)*$D43/$E43</x:f>
        <x:v>0</x:v>
      </x:c>
      <x:c r="X43" s="40" t="n">
        <x:f>MAX(0,MIN($G43,85)-MAX($F43,81)+1)*$D43/$E43</x:f>
        <x:v>0</x:v>
      </x:c>
      <x:c r="Y43" s="40" t="n">
        <x:f>MAX(0,MIN($G43,90)-MAX($F43,86)+1)*$D43/$E43</x:f>
        <x:v>0</x:v>
      </x:c>
      <x:c r="Z43" s="40" t="n">
        <x:f>MAX(0,MIN($G43,95)-MAX($F43,91)+1)*$D43/$E43</x:f>
        <x:v>0</x:v>
      </x:c>
      <x:c r="AA43" s="40" t="n">
        <x:f>MAX(0,MIN($G43,100)-MAX($F43,96)+1)*$D43/$E43</x:f>
        <x:v>0</x:v>
      </x:c>
      <x:c r="AB43" s="40" t="n">
        <x:f>MAX(0,MIN($G43,105)-MAX($F43,101)+1)*$D43/$E43</x:f>
        <x:v>0</x:v>
      </x:c>
      <x:c r="AC43" s="40" t="n">
        <x:f>MAX(0,MIN($G43,110)-MAX($F43,106)+1)*$D43/$E43</x:f>
        <x:v>0</x:v>
      </x:c>
      <x:c r="AD43" s="40" t="n">
        <x:f>MAX(0,MIN($G43,115)-MAX($F43,111)+1)*$D43/$E43</x:f>
        <x:v>0</x:v>
      </x:c>
      <x:c r="AE43" s="40" t="n">
        <x:f>MAX(0,MIN($G43,120)-MAX($F43,116)+1)*$D43/$E43</x:f>
        <x:v>0</x:v>
      </x:c>
      <x:c r="AF43" s="40" t="n">
        <x:f>MAX(0,MIN($G43,125)-MAX($F43,121)+1)*$D43/$E43</x:f>
        <x:v>0</x:v>
      </x:c>
      <x:c r="AG43" s="40" t="n">
        <x:f>MAX(0,MIN($G43,130)-MAX($F43,126)+1)*$D43/$E43</x:f>
        <x:v>0</x:v>
      </x:c>
      <x:c r="AH43" s="40" t="n">
        <x:f>MAX(0,MIN($G43,135)-MAX($F43,131)+1)*$D43/$E43</x:f>
        <x:v>0</x:v>
      </x:c>
      <x:c r="AI43" s="40" t="n">
        <x:f>MAX(0,MIN($G43,140)-MAX($F43,136)+1)*$D43/$E43</x:f>
        <x:v>0</x:v>
      </x:c>
      <x:c r="AJ43" s="40" t="n">
        <x:f>MAX(0,MIN($G43,145)-MAX($F43,141)+1)*$D43/$E43</x:f>
        <x:v>0</x:v>
      </x:c>
      <x:c r="AK43" s="40" t="n">
        <x:f>MAX(0,MIN($G43,150)-MAX($F43,146)+1)*$D43/$E43</x:f>
        <x:v>0</x:v>
      </x:c>
      <x:c r="AL43" s="40" t="n">
        <x:f>MAX(0,MIN($G43,155)-MAX($F43,151)+1)*$D43/$E43</x:f>
        <x:v>0</x:v>
      </x:c>
      <x:c r="AM43" s="40" t="n">
        <x:f>MAX(0,MIN($G43,160)-MAX($F43,156)+1)*$D43/$E43</x:f>
        <x:v>0</x:v>
      </x:c>
      <x:c r="AN43" s="40" t="n">
        <x:f>MAX(0,MIN($G43,165)-MAX($F43,161)+1)*$D43/$E43</x:f>
        <x:v>0</x:v>
      </x:c>
      <x:c r="AO43" s="40" t="n">
        <x:f>MAX(0,MIN($G43,170)-MAX($F43,166)+1)*$D43/$E43</x:f>
        <x:v>0</x:v>
      </x:c>
      <x:c r="AP43" s="40" t="n">
        <x:f>MAX(0,MIN($G43,175)-MAX($F43,171)+1)*$D43/$E43</x:f>
        <x:v>0</x:v>
      </x:c>
      <x:c r="AQ43" s="40" t="n">
        <x:f>MAX(0,MIN($G43,180)-MAX($F43,176)+1)*$D43/$E43</x:f>
        <x:v>0</x:v>
      </x:c>
    </x:row>
    <x:row r="44" ht="27" customHeight="1">
      <x:c r="A44" s="10" t="str">
        <x:v>C05</x:v>
      </x:c>
      <x:c r="B44" s="10" t="str">
        <x:f>'Tasks'!D25</x:f>
        <x:v>KE</x:v>
      </x:c>
      <x:c r="C44" s="10" t="str">
        <x:v>Owner</x:v>
      </x:c>
      <x:c r="D44" s="39" t="n">
        <x:f>'Tasks'!O25</x:f>
        <x:v>16</x:v>
      </x:c>
      <x:c r="E44" s="39" t="n">
        <x:f>'Tasks'!F25</x:f>
        <x:v>3</x:v>
      </x:c>
      <x:c r="F44" s="39" t="n">
        <x:f>'Tasks'!K25</x:f>
        <x:v>23</x:v>
      </x:c>
      <x:c r="G44" s="39" t="n">
        <x:f>'Tasks'!L25</x:f>
        <x:v>25</x:v>
      </x:c>
      <x:c r="H44" s="39" t="n">
        <x:f>MAX(0,MIN($G44,5)-MAX($F44,1)+1)*$D44/$E44</x:f>
        <x:v>0</x:v>
      </x:c>
      <x:c r="I44" s="39" t="n">
        <x:f>MAX(0,MIN($G44,10)-MAX($F44,6)+1)*$D44/$E44</x:f>
        <x:v>0</x:v>
      </x:c>
      <x:c r="J44" s="39" t="n">
        <x:f>MAX(0,MIN($G44,15)-MAX($F44,11)+1)*$D44/$E44</x:f>
        <x:v>0</x:v>
      </x:c>
      <x:c r="K44" s="39" t="n">
        <x:f>MAX(0,MIN($G44,20)-MAX($F44,16)+1)*$D44/$E44</x:f>
        <x:v>0</x:v>
      </x:c>
      <x:c r="L44" s="39" t="n">
        <x:f>MAX(0,MIN($G44,25)-MAX($F44,21)+1)*$D44/$E44</x:f>
        <x:v>16</x:v>
      </x:c>
      <x:c r="M44" s="39" t="n">
        <x:f>MAX(0,MIN($G44,30)-MAX($F44,26)+1)*$D44/$E44</x:f>
        <x:v>0</x:v>
      </x:c>
      <x:c r="N44" s="39" t="n">
        <x:f>MAX(0,MIN($G44,35)-MAX($F44,31)+1)*$D44/$E44</x:f>
        <x:v>0</x:v>
      </x:c>
      <x:c r="O44" s="39" t="n">
        <x:f>MAX(0,MIN($G44,40)-MAX($F44,36)+1)*$D44/$E44</x:f>
        <x:v>0</x:v>
      </x:c>
      <x:c r="P44" s="39" t="n">
        <x:f>MAX(0,MIN($G44,45)-MAX($F44,41)+1)*$D44/$E44</x:f>
        <x:v>0</x:v>
      </x:c>
      <x:c r="Q44" s="39" t="n">
        <x:f>MAX(0,MIN($G44,50)-MAX($F44,46)+1)*$D44/$E44</x:f>
        <x:v>0</x:v>
      </x:c>
      <x:c r="R44" s="39" t="n">
        <x:f>MAX(0,MIN($G44,55)-MAX($F44,51)+1)*$D44/$E44</x:f>
        <x:v>0</x:v>
      </x:c>
      <x:c r="S44" s="39" t="n">
        <x:f>MAX(0,MIN($G44,60)-MAX($F44,56)+1)*$D44/$E44</x:f>
        <x:v>0</x:v>
      </x:c>
      <x:c r="T44" s="39" t="n">
        <x:f>MAX(0,MIN($G44,65)-MAX($F44,61)+1)*$D44/$E44</x:f>
        <x:v>0</x:v>
      </x:c>
      <x:c r="U44" s="39" t="n">
        <x:f>MAX(0,MIN($G44,70)-MAX($F44,66)+1)*$D44/$E44</x:f>
        <x:v>0</x:v>
      </x:c>
      <x:c r="V44" s="39" t="n">
        <x:f>MAX(0,MIN($G44,75)-MAX($F44,71)+1)*$D44/$E44</x:f>
        <x:v>0</x:v>
      </x:c>
      <x:c r="W44" s="39" t="n">
        <x:f>MAX(0,MIN($G44,80)-MAX($F44,76)+1)*$D44/$E44</x:f>
        <x:v>0</x:v>
      </x:c>
      <x:c r="X44" s="39" t="n">
        <x:f>MAX(0,MIN($G44,85)-MAX($F44,81)+1)*$D44/$E44</x:f>
        <x:v>0</x:v>
      </x:c>
      <x:c r="Y44" s="39" t="n">
        <x:f>MAX(0,MIN($G44,90)-MAX($F44,86)+1)*$D44/$E44</x:f>
        <x:v>0</x:v>
      </x:c>
      <x:c r="Z44" s="39" t="n">
        <x:f>MAX(0,MIN($G44,95)-MAX($F44,91)+1)*$D44/$E44</x:f>
        <x:v>0</x:v>
      </x:c>
      <x:c r="AA44" s="39" t="n">
        <x:f>MAX(0,MIN($G44,100)-MAX($F44,96)+1)*$D44/$E44</x:f>
        <x:v>0</x:v>
      </x:c>
      <x:c r="AB44" s="39" t="n">
        <x:f>MAX(0,MIN($G44,105)-MAX($F44,101)+1)*$D44/$E44</x:f>
        <x:v>0</x:v>
      </x:c>
      <x:c r="AC44" s="39" t="n">
        <x:f>MAX(0,MIN($G44,110)-MAX($F44,106)+1)*$D44/$E44</x:f>
        <x:v>0</x:v>
      </x:c>
      <x:c r="AD44" s="39" t="n">
        <x:f>MAX(0,MIN($G44,115)-MAX($F44,111)+1)*$D44/$E44</x:f>
        <x:v>0</x:v>
      </x:c>
      <x:c r="AE44" s="39" t="n">
        <x:f>MAX(0,MIN($G44,120)-MAX($F44,116)+1)*$D44/$E44</x:f>
        <x:v>0</x:v>
      </x:c>
      <x:c r="AF44" s="39" t="n">
        <x:f>MAX(0,MIN($G44,125)-MAX($F44,121)+1)*$D44/$E44</x:f>
        <x:v>0</x:v>
      </x:c>
      <x:c r="AG44" s="39" t="n">
        <x:f>MAX(0,MIN($G44,130)-MAX($F44,126)+1)*$D44/$E44</x:f>
        <x:v>0</x:v>
      </x:c>
      <x:c r="AH44" s="39" t="n">
        <x:f>MAX(0,MIN($G44,135)-MAX($F44,131)+1)*$D44/$E44</x:f>
        <x:v>0</x:v>
      </x:c>
      <x:c r="AI44" s="39" t="n">
        <x:f>MAX(0,MIN($G44,140)-MAX($F44,136)+1)*$D44/$E44</x:f>
        <x:v>0</x:v>
      </x:c>
      <x:c r="AJ44" s="39" t="n">
        <x:f>MAX(0,MIN($G44,145)-MAX($F44,141)+1)*$D44/$E44</x:f>
        <x:v>0</x:v>
      </x:c>
      <x:c r="AK44" s="39" t="n">
        <x:f>MAX(0,MIN($G44,150)-MAX($F44,146)+1)*$D44/$E44</x:f>
        <x:v>0</x:v>
      </x:c>
      <x:c r="AL44" s="39" t="n">
        <x:f>MAX(0,MIN($G44,155)-MAX($F44,151)+1)*$D44/$E44</x:f>
        <x:v>0</x:v>
      </x:c>
      <x:c r="AM44" s="39" t="n">
        <x:f>MAX(0,MIN($G44,160)-MAX($F44,156)+1)*$D44/$E44</x:f>
        <x:v>0</x:v>
      </x:c>
      <x:c r="AN44" s="39" t="n">
        <x:f>MAX(0,MIN($G44,165)-MAX($F44,161)+1)*$D44/$E44</x:f>
        <x:v>0</x:v>
      </x:c>
      <x:c r="AO44" s="39" t="n">
        <x:f>MAX(0,MIN($G44,170)-MAX($F44,166)+1)*$D44/$E44</x:f>
        <x:v>0</x:v>
      </x:c>
      <x:c r="AP44" s="39" t="n">
        <x:f>MAX(0,MIN($G44,175)-MAX($F44,171)+1)*$D44/$E44</x:f>
        <x:v>0</x:v>
      </x:c>
      <x:c r="AQ44" s="39" t="n">
        <x:f>MAX(0,MIN($G44,180)-MAX($F44,176)+1)*$D44/$E44</x:f>
        <x:v>0</x:v>
      </x:c>
    </x:row>
    <x:row r="45" ht="27" customHeight="1">
      <x:c r="A45" s="9" t="str">
        <x:v>C05</x:v>
      </x:c>
      <x:c r="B45" s="9" t="str">
        <x:f>'Tasks'!P25</x:f>
        <x:v>PAE</x:v>
      </x:c>
      <x:c r="C45" s="9" t="str">
        <x:v>Review</x:v>
      </x:c>
      <x:c r="D45" s="40" t="n">
        <x:f>'Tasks'!Q25</x:f>
        <x:v>4</x:v>
      </x:c>
      <x:c r="E45" s="40" t="n">
        <x:f>'Tasks'!F25</x:f>
        <x:v>3</x:v>
      </x:c>
      <x:c r="F45" s="40" t="n">
        <x:f>'Tasks'!K25</x:f>
        <x:v>23</x:v>
      </x:c>
      <x:c r="G45" s="40" t="n">
        <x:f>'Tasks'!L25</x:f>
        <x:v>25</x:v>
      </x:c>
      <x:c r="H45" s="40" t="n">
        <x:f>MAX(0,MIN($G45,5)-MAX($F45,1)+1)*$D45/$E45</x:f>
        <x:v>0</x:v>
      </x:c>
      <x:c r="I45" s="40" t="n">
        <x:f>MAX(0,MIN($G45,10)-MAX($F45,6)+1)*$D45/$E45</x:f>
        <x:v>0</x:v>
      </x:c>
      <x:c r="J45" s="40" t="n">
        <x:f>MAX(0,MIN($G45,15)-MAX($F45,11)+1)*$D45/$E45</x:f>
        <x:v>0</x:v>
      </x:c>
      <x:c r="K45" s="40" t="n">
        <x:f>MAX(0,MIN($G45,20)-MAX($F45,16)+1)*$D45/$E45</x:f>
        <x:v>0</x:v>
      </x:c>
      <x:c r="L45" s="40" t="n">
        <x:f>MAX(0,MIN($G45,25)-MAX($F45,21)+1)*$D45/$E45</x:f>
        <x:v>4</x:v>
      </x:c>
      <x:c r="M45" s="40" t="n">
        <x:f>MAX(0,MIN($G45,30)-MAX($F45,26)+1)*$D45/$E45</x:f>
        <x:v>0</x:v>
      </x:c>
      <x:c r="N45" s="40" t="n">
        <x:f>MAX(0,MIN($G45,35)-MAX($F45,31)+1)*$D45/$E45</x:f>
        <x:v>0</x:v>
      </x:c>
      <x:c r="O45" s="40" t="n">
        <x:f>MAX(0,MIN($G45,40)-MAX($F45,36)+1)*$D45/$E45</x:f>
        <x:v>0</x:v>
      </x:c>
      <x:c r="P45" s="40" t="n">
        <x:f>MAX(0,MIN($G45,45)-MAX($F45,41)+1)*$D45/$E45</x:f>
        <x:v>0</x:v>
      </x:c>
      <x:c r="Q45" s="40" t="n">
        <x:f>MAX(0,MIN($G45,50)-MAX($F45,46)+1)*$D45/$E45</x:f>
        <x:v>0</x:v>
      </x:c>
      <x:c r="R45" s="40" t="n">
        <x:f>MAX(0,MIN($G45,55)-MAX($F45,51)+1)*$D45/$E45</x:f>
        <x:v>0</x:v>
      </x:c>
      <x:c r="S45" s="40" t="n">
        <x:f>MAX(0,MIN($G45,60)-MAX($F45,56)+1)*$D45/$E45</x:f>
        <x:v>0</x:v>
      </x:c>
      <x:c r="T45" s="40" t="n">
        <x:f>MAX(0,MIN($G45,65)-MAX($F45,61)+1)*$D45/$E45</x:f>
        <x:v>0</x:v>
      </x:c>
      <x:c r="U45" s="40" t="n">
        <x:f>MAX(0,MIN($G45,70)-MAX($F45,66)+1)*$D45/$E45</x:f>
        <x:v>0</x:v>
      </x:c>
      <x:c r="V45" s="40" t="n">
        <x:f>MAX(0,MIN($G45,75)-MAX($F45,71)+1)*$D45/$E45</x:f>
        <x:v>0</x:v>
      </x:c>
      <x:c r="W45" s="40" t="n">
        <x:f>MAX(0,MIN($G45,80)-MAX($F45,76)+1)*$D45/$E45</x:f>
        <x:v>0</x:v>
      </x:c>
      <x:c r="X45" s="40" t="n">
        <x:f>MAX(0,MIN($G45,85)-MAX($F45,81)+1)*$D45/$E45</x:f>
        <x:v>0</x:v>
      </x:c>
      <x:c r="Y45" s="40" t="n">
        <x:f>MAX(0,MIN($G45,90)-MAX($F45,86)+1)*$D45/$E45</x:f>
        <x:v>0</x:v>
      </x:c>
      <x:c r="Z45" s="40" t="n">
        <x:f>MAX(0,MIN($G45,95)-MAX($F45,91)+1)*$D45/$E45</x:f>
        <x:v>0</x:v>
      </x:c>
      <x:c r="AA45" s="40" t="n">
        <x:f>MAX(0,MIN($G45,100)-MAX($F45,96)+1)*$D45/$E45</x:f>
        <x:v>0</x:v>
      </x:c>
      <x:c r="AB45" s="40" t="n">
        <x:f>MAX(0,MIN($G45,105)-MAX($F45,101)+1)*$D45/$E45</x:f>
        <x:v>0</x:v>
      </x:c>
      <x:c r="AC45" s="40" t="n">
        <x:f>MAX(0,MIN($G45,110)-MAX($F45,106)+1)*$D45/$E45</x:f>
        <x:v>0</x:v>
      </x:c>
      <x:c r="AD45" s="40" t="n">
        <x:f>MAX(0,MIN($G45,115)-MAX($F45,111)+1)*$D45/$E45</x:f>
        <x:v>0</x:v>
      </x:c>
      <x:c r="AE45" s="40" t="n">
        <x:f>MAX(0,MIN($G45,120)-MAX($F45,116)+1)*$D45/$E45</x:f>
        <x:v>0</x:v>
      </x:c>
      <x:c r="AF45" s="40" t="n">
        <x:f>MAX(0,MIN($G45,125)-MAX($F45,121)+1)*$D45/$E45</x:f>
        <x:v>0</x:v>
      </x:c>
      <x:c r="AG45" s="40" t="n">
        <x:f>MAX(0,MIN($G45,130)-MAX($F45,126)+1)*$D45/$E45</x:f>
        <x:v>0</x:v>
      </x:c>
      <x:c r="AH45" s="40" t="n">
        <x:f>MAX(0,MIN($G45,135)-MAX($F45,131)+1)*$D45/$E45</x:f>
        <x:v>0</x:v>
      </x:c>
      <x:c r="AI45" s="40" t="n">
        <x:f>MAX(0,MIN($G45,140)-MAX($F45,136)+1)*$D45/$E45</x:f>
        <x:v>0</x:v>
      </x:c>
      <x:c r="AJ45" s="40" t="n">
        <x:f>MAX(0,MIN($G45,145)-MAX($F45,141)+1)*$D45/$E45</x:f>
        <x:v>0</x:v>
      </x:c>
      <x:c r="AK45" s="40" t="n">
        <x:f>MAX(0,MIN($G45,150)-MAX($F45,146)+1)*$D45/$E45</x:f>
        <x:v>0</x:v>
      </x:c>
      <x:c r="AL45" s="40" t="n">
        <x:f>MAX(0,MIN($G45,155)-MAX($F45,151)+1)*$D45/$E45</x:f>
        <x:v>0</x:v>
      </x:c>
      <x:c r="AM45" s="40" t="n">
        <x:f>MAX(0,MIN($G45,160)-MAX($F45,156)+1)*$D45/$E45</x:f>
        <x:v>0</x:v>
      </x:c>
      <x:c r="AN45" s="40" t="n">
        <x:f>MAX(0,MIN($G45,165)-MAX($F45,161)+1)*$D45/$E45</x:f>
        <x:v>0</x:v>
      </x:c>
      <x:c r="AO45" s="40" t="n">
        <x:f>MAX(0,MIN($G45,170)-MAX($F45,166)+1)*$D45/$E45</x:f>
        <x:v>0</x:v>
      </x:c>
      <x:c r="AP45" s="40" t="n">
        <x:f>MAX(0,MIN($G45,175)-MAX($F45,171)+1)*$D45/$E45</x:f>
        <x:v>0</x:v>
      </x:c>
      <x:c r="AQ45" s="40" t="n">
        <x:f>MAX(0,MIN($G45,180)-MAX($F45,176)+1)*$D45/$E45</x:f>
        <x:v>0</x:v>
      </x:c>
    </x:row>
    <x:row r="46" ht="27" customHeight="1">
      <x:c r="A46" s="10" t="str">
        <x:v>C06</x:v>
      </x:c>
      <x:c r="B46" s="10" t="str">
        <x:f>'Tasks'!D26</x:f>
        <x:v>PAE</x:v>
      </x:c>
      <x:c r="C46" s="10" t="str">
        <x:v>Owner</x:v>
      </x:c>
      <x:c r="D46" s="39" t="n">
        <x:f>'Tasks'!O26</x:f>
        <x:v>28</x:v>
      </x:c>
      <x:c r="E46" s="39" t="n">
        <x:f>'Tasks'!F26</x:f>
        <x:v>5</x:v>
      </x:c>
      <x:c r="F46" s="39" t="n">
        <x:f>'Tasks'!K26</x:f>
        <x:v>30</x:v>
      </x:c>
      <x:c r="G46" s="39" t="n">
        <x:f>'Tasks'!L26</x:f>
        <x:v>34</x:v>
      </x:c>
      <x:c r="H46" s="39" t="n">
        <x:f>MAX(0,MIN($G46,5)-MAX($F46,1)+1)*$D46/$E46</x:f>
        <x:v>0</x:v>
      </x:c>
      <x:c r="I46" s="39" t="n">
        <x:f>MAX(0,MIN($G46,10)-MAX($F46,6)+1)*$D46/$E46</x:f>
        <x:v>0</x:v>
      </x:c>
      <x:c r="J46" s="39" t="n">
        <x:f>MAX(0,MIN($G46,15)-MAX($F46,11)+1)*$D46/$E46</x:f>
        <x:v>0</x:v>
      </x:c>
      <x:c r="K46" s="39" t="n">
        <x:f>MAX(0,MIN($G46,20)-MAX($F46,16)+1)*$D46/$E46</x:f>
        <x:v>0</x:v>
      </x:c>
      <x:c r="L46" s="39" t="n">
        <x:f>MAX(0,MIN($G46,25)-MAX($F46,21)+1)*$D46/$E46</x:f>
        <x:v>0</x:v>
      </x:c>
      <x:c r="M46" s="39" t="n">
        <x:f>MAX(0,MIN($G46,30)-MAX($F46,26)+1)*$D46/$E46</x:f>
        <x:v>5.6</x:v>
      </x:c>
      <x:c r="N46" s="39" t="n">
        <x:f>MAX(0,MIN($G46,35)-MAX($F46,31)+1)*$D46/$E46</x:f>
        <x:v>22.4</x:v>
      </x:c>
      <x:c r="O46" s="39" t="n">
        <x:f>MAX(0,MIN($G46,40)-MAX($F46,36)+1)*$D46/$E46</x:f>
        <x:v>0</x:v>
      </x:c>
      <x:c r="P46" s="39" t="n">
        <x:f>MAX(0,MIN($G46,45)-MAX($F46,41)+1)*$D46/$E46</x:f>
        <x:v>0</x:v>
      </x:c>
      <x:c r="Q46" s="39" t="n">
        <x:f>MAX(0,MIN($G46,50)-MAX($F46,46)+1)*$D46/$E46</x:f>
        <x:v>0</x:v>
      </x:c>
      <x:c r="R46" s="39" t="n">
        <x:f>MAX(0,MIN($G46,55)-MAX($F46,51)+1)*$D46/$E46</x:f>
        <x:v>0</x:v>
      </x:c>
      <x:c r="S46" s="39" t="n">
        <x:f>MAX(0,MIN($G46,60)-MAX($F46,56)+1)*$D46/$E46</x:f>
        <x:v>0</x:v>
      </x:c>
      <x:c r="T46" s="39" t="n">
        <x:f>MAX(0,MIN($G46,65)-MAX($F46,61)+1)*$D46/$E46</x:f>
        <x:v>0</x:v>
      </x:c>
      <x:c r="U46" s="39" t="n">
        <x:f>MAX(0,MIN($G46,70)-MAX($F46,66)+1)*$D46/$E46</x:f>
        <x:v>0</x:v>
      </x:c>
      <x:c r="V46" s="39" t="n">
        <x:f>MAX(0,MIN($G46,75)-MAX($F46,71)+1)*$D46/$E46</x:f>
        <x:v>0</x:v>
      </x:c>
      <x:c r="W46" s="39" t="n">
        <x:f>MAX(0,MIN($G46,80)-MAX($F46,76)+1)*$D46/$E46</x:f>
        <x:v>0</x:v>
      </x:c>
      <x:c r="X46" s="39" t="n">
        <x:f>MAX(0,MIN($G46,85)-MAX($F46,81)+1)*$D46/$E46</x:f>
        <x:v>0</x:v>
      </x:c>
      <x:c r="Y46" s="39" t="n">
        <x:f>MAX(0,MIN($G46,90)-MAX($F46,86)+1)*$D46/$E46</x:f>
        <x:v>0</x:v>
      </x:c>
      <x:c r="Z46" s="39" t="n">
        <x:f>MAX(0,MIN($G46,95)-MAX($F46,91)+1)*$D46/$E46</x:f>
        <x:v>0</x:v>
      </x:c>
      <x:c r="AA46" s="39" t="n">
        <x:f>MAX(0,MIN($G46,100)-MAX($F46,96)+1)*$D46/$E46</x:f>
        <x:v>0</x:v>
      </x:c>
      <x:c r="AB46" s="39" t="n">
        <x:f>MAX(0,MIN($G46,105)-MAX($F46,101)+1)*$D46/$E46</x:f>
        <x:v>0</x:v>
      </x:c>
      <x:c r="AC46" s="39" t="n">
        <x:f>MAX(0,MIN($G46,110)-MAX($F46,106)+1)*$D46/$E46</x:f>
        <x:v>0</x:v>
      </x:c>
      <x:c r="AD46" s="39" t="n">
        <x:f>MAX(0,MIN($G46,115)-MAX($F46,111)+1)*$D46/$E46</x:f>
        <x:v>0</x:v>
      </x:c>
      <x:c r="AE46" s="39" t="n">
        <x:f>MAX(0,MIN($G46,120)-MAX($F46,116)+1)*$D46/$E46</x:f>
        <x:v>0</x:v>
      </x:c>
      <x:c r="AF46" s="39" t="n">
        <x:f>MAX(0,MIN($G46,125)-MAX($F46,121)+1)*$D46/$E46</x:f>
        <x:v>0</x:v>
      </x:c>
      <x:c r="AG46" s="39" t="n">
        <x:f>MAX(0,MIN($G46,130)-MAX($F46,126)+1)*$D46/$E46</x:f>
        <x:v>0</x:v>
      </x:c>
      <x:c r="AH46" s="39" t="n">
        <x:f>MAX(0,MIN($G46,135)-MAX($F46,131)+1)*$D46/$E46</x:f>
        <x:v>0</x:v>
      </x:c>
      <x:c r="AI46" s="39" t="n">
        <x:f>MAX(0,MIN($G46,140)-MAX($F46,136)+1)*$D46/$E46</x:f>
        <x:v>0</x:v>
      </x:c>
      <x:c r="AJ46" s="39" t="n">
        <x:f>MAX(0,MIN($G46,145)-MAX($F46,141)+1)*$D46/$E46</x:f>
        <x:v>0</x:v>
      </x:c>
      <x:c r="AK46" s="39" t="n">
        <x:f>MAX(0,MIN($G46,150)-MAX($F46,146)+1)*$D46/$E46</x:f>
        <x:v>0</x:v>
      </x:c>
      <x:c r="AL46" s="39" t="n">
        <x:f>MAX(0,MIN($G46,155)-MAX($F46,151)+1)*$D46/$E46</x:f>
        <x:v>0</x:v>
      </x:c>
      <x:c r="AM46" s="39" t="n">
        <x:f>MAX(0,MIN($G46,160)-MAX($F46,156)+1)*$D46/$E46</x:f>
        <x:v>0</x:v>
      </x:c>
      <x:c r="AN46" s="39" t="n">
        <x:f>MAX(0,MIN($G46,165)-MAX($F46,161)+1)*$D46/$E46</x:f>
        <x:v>0</x:v>
      </x:c>
      <x:c r="AO46" s="39" t="n">
        <x:f>MAX(0,MIN($G46,170)-MAX($F46,166)+1)*$D46/$E46</x:f>
        <x:v>0</x:v>
      </x:c>
      <x:c r="AP46" s="39" t="n">
        <x:f>MAX(0,MIN($G46,175)-MAX($F46,171)+1)*$D46/$E46</x:f>
        <x:v>0</x:v>
      </x:c>
      <x:c r="AQ46" s="39" t="n">
        <x:f>MAX(0,MIN($G46,180)-MAX($F46,176)+1)*$D46/$E46</x:f>
        <x:v>0</x:v>
      </x:c>
    </x:row>
    <x:row r="47" ht="27" customHeight="1">
      <x:c r="A47" s="9" t="str">
        <x:v>C06</x:v>
      </x:c>
      <x:c r="B47" s="9" t="str">
        <x:f>'Tasks'!P26</x:f>
        <x:v>EXP</x:v>
      </x:c>
      <x:c r="C47" s="9" t="str">
        <x:v>Review</x:v>
      </x:c>
      <x:c r="D47" s="40" t="n">
        <x:f>'Tasks'!Q26</x:f>
        <x:v>12</x:v>
      </x:c>
      <x:c r="E47" s="40" t="n">
        <x:f>'Tasks'!F26</x:f>
        <x:v>5</x:v>
      </x:c>
      <x:c r="F47" s="40" t="n">
        <x:f>'Tasks'!K26</x:f>
        <x:v>30</x:v>
      </x:c>
      <x:c r="G47" s="40" t="n">
        <x:f>'Tasks'!L26</x:f>
        <x:v>34</x:v>
      </x:c>
      <x:c r="H47" s="40" t="n">
        <x:f>MAX(0,MIN($G47,5)-MAX($F47,1)+1)*$D47/$E47</x:f>
        <x:v>0</x:v>
      </x:c>
      <x:c r="I47" s="40" t="n">
        <x:f>MAX(0,MIN($G47,10)-MAX($F47,6)+1)*$D47/$E47</x:f>
        <x:v>0</x:v>
      </x:c>
      <x:c r="J47" s="40" t="n">
        <x:f>MAX(0,MIN($G47,15)-MAX($F47,11)+1)*$D47/$E47</x:f>
        <x:v>0</x:v>
      </x:c>
      <x:c r="K47" s="40" t="n">
        <x:f>MAX(0,MIN($G47,20)-MAX($F47,16)+1)*$D47/$E47</x:f>
        <x:v>0</x:v>
      </x:c>
      <x:c r="L47" s="40" t="n">
        <x:f>MAX(0,MIN($G47,25)-MAX($F47,21)+1)*$D47/$E47</x:f>
        <x:v>0</x:v>
      </x:c>
      <x:c r="M47" s="40" t="n">
        <x:f>MAX(0,MIN($G47,30)-MAX($F47,26)+1)*$D47/$E47</x:f>
        <x:v>2.4</x:v>
      </x:c>
      <x:c r="N47" s="40" t="n">
        <x:f>MAX(0,MIN($G47,35)-MAX($F47,31)+1)*$D47/$E47</x:f>
        <x:v>9.6</x:v>
      </x:c>
      <x:c r="O47" s="40" t="n">
        <x:f>MAX(0,MIN($G47,40)-MAX($F47,36)+1)*$D47/$E47</x:f>
        <x:v>0</x:v>
      </x:c>
      <x:c r="P47" s="40" t="n">
        <x:f>MAX(0,MIN($G47,45)-MAX($F47,41)+1)*$D47/$E47</x:f>
        <x:v>0</x:v>
      </x:c>
      <x:c r="Q47" s="40" t="n">
        <x:f>MAX(0,MIN($G47,50)-MAX($F47,46)+1)*$D47/$E47</x:f>
        <x:v>0</x:v>
      </x:c>
      <x:c r="R47" s="40" t="n">
        <x:f>MAX(0,MIN($G47,55)-MAX($F47,51)+1)*$D47/$E47</x:f>
        <x:v>0</x:v>
      </x:c>
      <x:c r="S47" s="40" t="n">
        <x:f>MAX(0,MIN($G47,60)-MAX($F47,56)+1)*$D47/$E47</x:f>
        <x:v>0</x:v>
      </x:c>
      <x:c r="T47" s="40" t="n">
        <x:f>MAX(0,MIN($G47,65)-MAX($F47,61)+1)*$D47/$E47</x:f>
        <x:v>0</x:v>
      </x:c>
      <x:c r="U47" s="40" t="n">
        <x:f>MAX(0,MIN($G47,70)-MAX($F47,66)+1)*$D47/$E47</x:f>
        <x:v>0</x:v>
      </x:c>
      <x:c r="V47" s="40" t="n">
        <x:f>MAX(0,MIN($G47,75)-MAX($F47,71)+1)*$D47/$E47</x:f>
        <x:v>0</x:v>
      </x:c>
      <x:c r="W47" s="40" t="n">
        <x:f>MAX(0,MIN($G47,80)-MAX($F47,76)+1)*$D47/$E47</x:f>
        <x:v>0</x:v>
      </x:c>
      <x:c r="X47" s="40" t="n">
        <x:f>MAX(0,MIN($G47,85)-MAX($F47,81)+1)*$D47/$E47</x:f>
        <x:v>0</x:v>
      </x:c>
      <x:c r="Y47" s="40" t="n">
        <x:f>MAX(0,MIN($G47,90)-MAX($F47,86)+1)*$D47/$E47</x:f>
        <x:v>0</x:v>
      </x:c>
      <x:c r="Z47" s="40" t="n">
        <x:f>MAX(0,MIN($G47,95)-MAX($F47,91)+1)*$D47/$E47</x:f>
        <x:v>0</x:v>
      </x:c>
      <x:c r="AA47" s="40" t="n">
        <x:f>MAX(0,MIN($G47,100)-MAX($F47,96)+1)*$D47/$E47</x:f>
        <x:v>0</x:v>
      </x:c>
      <x:c r="AB47" s="40" t="n">
        <x:f>MAX(0,MIN($G47,105)-MAX($F47,101)+1)*$D47/$E47</x:f>
        <x:v>0</x:v>
      </x:c>
      <x:c r="AC47" s="40" t="n">
        <x:f>MAX(0,MIN($G47,110)-MAX($F47,106)+1)*$D47/$E47</x:f>
        <x:v>0</x:v>
      </x:c>
      <x:c r="AD47" s="40" t="n">
        <x:f>MAX(0,MIN($G47,115)-MAX($F47,111)+1)*$D47/$E47</x:f>
        <x:v>0</x:v>
      </x:c>
      <x:c r="AE47" s="40" t="n">
        <x:f>MAX(0,MIN($G47,120)-MAX($F47,116)+1)*$D47/$E47</x:f>
        <x:v>0</x:v>
      </x:c>
      <x:c r="AF47" s="40" t="n">
        <x:f>MAX(0,MIN($G47,125)-MAX($F47,121)+1)*$D47/$E47</x:f>
        <x:v>0</x:v>
      </x:c>
      <x:c r="AG47" s="40" t="n">
        <x:f>MAX(0,MIN($G47,130)-MAX($F47,126)+1)*$D47/$E47</x:f>
        <x:v>0</x:v>
      </x:c>
      <x:c r="AH47" s="40" t="n">
        <x:f>MAX(0,MIN($G47,135)-MAX($F47,131)+1)*$D47/$E47</x:f>
        <x:v>0</x:v>
      </x:c>
      <x:c r="AI47" s="40" t="n">
        <x:f>MAX(0,MIN($G47,140)-MAX($F47,136)+1)*$D47/$E47</x:f>
        <x:v>0</x:v>
      </x:c>
      <x:c r="AJ47" s="40" t="n">
        <x:f>MAX(0,MIN($G47,145)-MAX($F47,141)+1)*$D47/$E47</x:f>
        <x:v>0</x:v>
      </x:c>
      <x:c r="AK47" s="40" t="n">
        <x:f>MAX(0,MIN($G47,150)-MAX($F47,146)+1)*$D47/$E47</x:f>
        <x:v>0</x:v>
      </x:c>
      <x:c r="AL47" s="40" t="n">
        <x:f>MAX(0,MIN($G47,155)-MAX($F47,151)+1)*$D47/$E47</x:f>
        <x:v>0</x:v>
      </x:c>
      <x:c r="AM47" s="40" t="n">
        <x:f>MAX(0,MIN($G47,160)-MAX($F47,156)+1)*$D47/$E47</x:f>
        <x:v>0</x:v>
      </x:c>
      <x:c r="AN47" s="40" t="n">
        <x:f>MAX(0,MIN($G47,165)-MAX($F47,161)+1)*$D47/$E47</x:f>
        <x:v>0</x:v>
      </x:c>
      <x:c r="AO47" s="40" t="n">
        <x:f>MAX(0,MIN($G47,170)-MAX($F47,166)+1)*$D47/$E47</x:f>
        <x:v>0</x:v>
      </x:c>
      <x:c r="AP47" s="40" t="n">
        <x:f>MAX(0,MIN($G47,175)-MAX($F47,171)+1)*$D47/$E47</x:f>
        <x:v>0</x:v>
      </x:c>
      <x:c r="AQ47" s="40" t="n">
        <x:f>MAX(0,MIN($G47,180)-MAX($F47,176)+1)*$D47/$E47</x:f>
        <x:v>0</x:v>
      </x:c>
    </x:row>
    <x:row r="48" ht="27" customHeight="1">
      <x:c r="A48" s="10" t="str">
        <x:v>C07</x:v>
      </x:c>
      <x:c r="B48" s="10" t="str">
        <x:f>'Tasks'!D27</x:f>
        <x:v>KE</x:v>
      </x:c>
      <x:c r="C48" s="10" t="str">
        <x:v>Owner</x:v>
      </x:c>
      <x:c r="D48" s="39" t="n">
        <x:f>'Tasks'!O27</x:f>
        <x:v>20</x:v>
      </x:c>
      <x:c r="E48" s="39" t="n">
        <x:f>'Tasks'!F27</x:f>
        <x:v>4</x:v>
      </x:c>
      <x:c r="F48" s="39" t="n">
        <x:f>'Tasks'!K27</x:f>
        <x:v>26</x:v>
      </x:c>
      <x:c r="G48" s="39" t="n">
        <x:f>'Tasks'!L27</x:f>
        <x:v>29</x:v>
      </x:c>
      <x:c r="H48" s="39" t="n">
        <x:f>MAX(0,MIN($G48,5)-MAX($F48,1)+1)*$D48/$E48</x:f>
        <x:v>0</x:v>
      </x:c>
      <x:c r="I48" s="39" t="n">
        <x:f>MAX(0,MIN($G48,10)-MAX($F48,6)+1)*$D48/$E48</x:f>
        <x:v>0</x:v>
      </x:c>
      <x:c r="J48" s="39" t="n">
        <x:f>MAX(0,MIN($G48,15)-MAX($F48,11)+1)*$D48/$E48</x:f>
        <x:v>0</x:v>
      </x:c>
      <x:c r="K48" s="39" t="n">
        <x:f>MAX(0,MIN($G48,20)-MAX($F48,16)+1)*$D48/$E48</x:f>
        <x:v>0</x:v>
      </x:c>
      <x:c r="L48" s="39" t="n">
        <x:f>MAX(0,MIN($G48,25)-MAX($F48,21)+1)*$D48/$E48</x:f>
        <x:v>0</x:v>
      </x:c>
      <x:c r="M48" s="39" t="n">
        <x:f>MAX(0,MIN($G48,30)-MAX($F48,26)+1)*$D48/$E48</x:f>
        <x:v>20</x:v>
      </x:c>
      <x:c r="N48" s="39" t="n">
        <x:f>MAX(0,MIN($G48,35)-MAX($F48,31)+1)*$D48/$E48</x:f>
        <x:v>0</x:v>
      </x:c>
      <x:c r="O48" s="39" t="n">
        <x:f>MAX(0,MIN($G48,40)-MAX($F48,36)+1)*$D48/$E48</x:f>
        <x:v>0</x:v>
      </x:c>
      <x:c r="P48" s="39" t="n">
        <x:f>MAX(0,MIN($G48,45)-MAX($F48,41)+1)*$D48/$E48</x:f>
        <x:v>0</x:v>
      </x:c>
      <x:c r="Q48" s="39" t="n">
        <x:f>MAX(0,MIN($G48,50)-MAX($F48,46)+1)*$D48/$E48</x:f>
        <x:v>0</x:v>
      </x:c>
      <x:c r="R48" s="39" t="n">
        <x:f>MAX(0,MIN($G48,55)-MAX($F48,51)+1)*$D48/$E48</x:f>
        <x:v>0</x:v>
      </x:c>
      <x:c r="S48" s="39" t="n">
        <x:f>MAX(0,MIN($G48,60)-MAX($F48,56)+1)*$D48/$E48</x:f>
        <x:v>0</x:v>
      </x:c>
      <x:c r="T48" s="39" t="n">
        <x:f>MAX(0,MIN($G48,65)-MAX($F48,61)+1)*$D48/$E48</x:f>
        <x:v>0</x:v>
      </x:c>
      <x:c r="U48" s="39" t="n">
        <x:f>MAX(0,MIN($G48,70)-MAX($F48,66)+1)*$D48/$E48</x:f>
        <x:v>0</x:v>
      </x:c>
      <x:c r="V48" s="39" t="n">
        <x:f>MAX(0,MIN($G48,75)-MAX($F48,71)+1)*$D48/$E48</x:f>
        <x:v>0</x:v>
      </x:c>
      <x:c r="W48" s="39" t="n">
        <x:f>MAX(0,MIN($G48,80)-MAX($F48,76)+1)*$D48/$E48</x:f>
        <x:v>0</x:v>
      </x:c>
      <x:c r="X48" s="39" t="n">
        <x:f>MAX(0,MIN($G48,85)-MAX($F48,81)+1)*$D48/$E48</x:f>
        <x:v>0</x:v>
      </x:c>
      <x:c r="Y48" s="39" t="n">
        <x:f>MAX(0,MIN($G48,90)-MAX($F48,86)+1)*$D48/$E48</x:f>
        <x:v>0</x:v>
      </x:c>
      <x:c r="Z48" s="39" t="n">
        <x:f>MAX(0,MIN($G48,95)-MAX($F48,91)+1)*$D48/$E48</x:f>
        <x:v>0</x:v>
      </x:c>
      <x:c r="AA48" s="39" t="n">
        <x:f>MAX(0,MIN($G48,100)-MAX($F48,96)+1)*$D48/$E48</x:f>
        <x:v>0</x:v>
      </x:c>
      <x:c r="AB48" s="39" t="n">
        <x:f>MAX(0,MIN($G48,105)-MAX($F48,101)+1)*$D48/$E48</x:f>
        <x:v>0</x:v>
      </x:c>
      <x:c r="AC48" s="39" t="n">
        <x:f>MAX(0,MIN($G48,110)-MAX($F48,106)+1)*$D48/$E48</x:f>
        <x:v>0</x:v>
      </x:c>
      <x:c r="AD48" s="39" t="n">
        <x:f>MAX(0,MIN($G48,115)-MAX($F48,111)+1)*$D48/$E48</x:f>
        <x:v>0</x:v>
      </x:c>
      <x:c r="AE48" s="39" t="n">
        <x:f>MAX(0,MIN($G48,120)-MAX($F48,116)+1)*$D48/$E48</x:f>
        <x:v>0</x:v>
      </x:c>
      <x:c r="AF48" s="39" t="n">
        <x:f>MAX(0,MIN($G48,125)-MAX($F48,121)+1)*$D48/$E48</x:f>
        <x:v>0</x:v>
      </x:c>
      <x:c r="AG48" s="39" t="n">
        <x:f>MAX(0,MIN($G48,130)-MAX($F48,126)+1)*$D48/$E48</x:f>
        <x:v>0</x:v>
      </x:c>
      <x:c r="AH48" s="39" t="n">
        <x:f>MAX(0,MIN($G48,135)-MAX($F48,131)+1)*$D48/$E48</x:f>
        <x:v>0</x:v>
      </x:c>
      <x:c r="AI48" s="39" t="n">
        <x:f>MAX(0,MIN($G48,140)-MAX($F48,136)+1)*$D48/$E48</x:f>
        <x:v>0</x:v>
      </x:c>
      <x:c r="AJ48" s="39" t="n">
        <x:f>MAX(0,MIN($G48,145)-MAX($F48,141)+1)*$D48/$E48</x:f>
        <x:v>0</x:v>
      </x:c>
      <x:c r="AK48" s="39" t="n">
        <x:f>MAX(0,MIN($G48,150)-MAX($F48,146)+1)*$D48/$E48</x:f>
        <x:v>0</x:v>
      </x:c>
      <x:c r="AL48" s="39" t="n">
        <x:f>MAX(0,MIN($G48,155)-MAX($F48,151)+1)*$D48/$E48</x:f>
        <x:v>0</x:v>
      </x:c>
      <x:c r="AM48" s="39" t="n">
        <x:f>MAX(0,MIN($G48,160)-MAX($F48,156)+1)*$D48/$E48</x:f>
        <x:v>0</x:v>
      </x:c>
      <x:c r="AN48" s="39" t="n">
        <x:f>MAX(0,MIN($G48,165)-MAX($F48,161)+1)*$D48/$E48</x:f>
        <x:v>0</x:v>
      </x:c>
      <x:c r="AO48" s="39" t="n">
        <x:f>MAX(0,MIN($G48,170)-MAX($F48,166)+1)*$D48/$E48</x:f>
        <x:v>0</x:v>
      </x:c>
      <x:c r="AP48" s="39" t="n">
        <x:f>MAX(0,MIN($G48,175)-MAX($F48,171)+1)*$D48/$E48</x:f>
        <x:v>0</x:v>
      </x:c>
      <x:c r="AQ48" s="39" t="n">
        <x:f>MAX(0,MIN($G48,180)-MAX($F48,176)+1)*$D48/$E48</x:f>
        <x:v>0</x:v>
      </x:c>
    </x:row>
    <x:row r="49" ht="27" customHeight="1">
      <x:c r="A49" s="9" t="str">
        <x:v>C07</x:v>
      </x:c>
      <x:c r="B49" s="9" t="str">
        <x:f>'Tasks'!P27</x:f>
        <x:v>SEC</x:v>
      </x:c>
      <x:c r="C49" s="9" t="str">
        <x:v>Review</x:v>
      </x:c>
      <x:c r="D49" s="40" t="n">
        <x:f>'Tasks'!Q27</x:f>
        <x:v>5</x:v>
      </x:c>
      <x:c r="E49" s="40" t="n">
        <x:f>'Tasks'!F27</x:f>
        <x:v>4</x:v>
      </x:c>
      <x:c r="F49" s="40" t="n">
        <x:f>'Tasks'!K27</x:f>
        <x:v>26</x:v>
      </x:c>
      <x:c r="G49" s="40" t="n">
        <x:f>'Tasks'!L27</x:f>
        <x:v>29</x:v>
      </x:c>
      <x:c r="H49" s="40" t="n">
        <x:f>MAX(0,MIN($G49,5)-MAX($F49,1)+1)*$D49/$E49</x:f>
        <x:v>0</x:v>
      </x:c>
      <x:c r="I49" s="40" t="n">
        <x:f>MAX(0,MIN($G49,10)-MAX($F49,6)+1)*$D49/$E49</x:f>
        <x:v>0</x:v>
      </x:c>
      <x:c r="J49" s="40" t="n">
        <x:f>MAX(0,MIN($G49,15)-MAX($F49,11)+1)*$D49/$E49</x:f>
        <x:v>0</x:v>
      </x:c>
      <x:c r="K49" s="40" t="n">
        <x:f>MAX(0,MIN($G49,20)-MAX($F49,16)+1)*$D49/$E49</x:f>
        <x:v>0</x:v>
      </x:c>
      <x:c r="L49" s="40" t="n">
        <x:f>MAX(0,MIN($G49,25)-MAX($F49,21)+1)*$D49/$E49</x:f>
        <x:v>0</x:v>
      </x:c>
      <x:c r="M49" s="40" t="n">
        <x:f>MAX(0,MIN($G49,30)-MAX($F49,26)+1)*$D49/$E49</x:f>
        <x:v>5</x:v>
      </x:c>
      <x:c r="N49" s="40" t="n">
        <x:f>MAX(0,MIN($G49,35)-MAX($F49,31)+1)*$D49/$E49</x:f>
        <x:v>0</x:v>
      </x:c>
      <x:c r="O49" s="40" t="n">
        <x:f>MAX(0,MIN($G49,40)-MAX($F49,36)+1)*$D49/$E49</x:f>
        <x:v>0</x:v>
      </x:c>
      <x:c r="P49" s="40" t="n">
        <x:f>MAX(0,MIN($G49,45)-MAX($F49,41)+1)*$D49/$E49</x:f>
        <x:v>0</x:v>
      </x:c>
      <x:c r="Q49" s="40" t="n">
        <x:f>MAX(0,MIN($G49,50)-MAX($F49,46)+1)*$D49/$E49</x:f>
        <x:v>0</x:v>
      </x:c>
      <x:c r="R49" s="40" t="n">
        <x:f>MAX(0,MIN($G49,55)-MAX($F49,51)+1)*$D49/$E49</x:f>
        <x:v>0</x:v>
      </x:c>
      <x:c r="S49" s="40" t="n">
        <x:f>MAX(0,MIN($G49,60)-MAX($F49,56)+1)*$D49/$E49</x:f>
        <x:v>0</x:v>
      </x:c>
      <x:c r="T49" s="40" t="n">
        <x:f>MAX(0,MIN($G49,65)-MAX($F49,61)+1)*$D49/$E49</x:f>
        <x:v>0</x:v>
      </x:c>
      <x:c r="U49" s="40" t="n">
        <x:f>MAX(0,MIN($G49,70)-MAX($F49,66)+1)*$D49/$E49</x:f>
        <x:v>0</x:v>
      </x:c>
      <x:c r="V49" s="40" t="n">
        <x:f>MAX(0,MIN($G49,75)-MAX($F49,71)+1)*$D49/$E49</x:f>
        <x:v>0</x:v>
      </x:c>
      <x:c r="W49" s="40" t="n">
        <x:f>MAX(0,MIN($G49,80)-MAX($F49,76)+1)*$D49/$E49</x:f>
        <x:v>0</x:v>
      </x:c>
      <x:c r="X49" s="40" t="n">
        <x:f>MAX(0,MIN($G49,85)-MAX($F49,81)+1)*$D49/$E49</x:f>
        <x:v>0</x:v>
      </x:c>
      <x:c r="Y49" s="40" t="n">
        <x:f>MAX(0,MIN($G49,90)-MAX($F49,86)+1)*$D49/$E49</x:f>
        <x:v>0</x:v>
      </x:c>
      <x:c r="Z49" s="40" t="n">
        <x:f>MAX(0,MIN($G49,95)-MAX($F49,91)+1)*$D49/$E49</x:f>
        <x:v>0</x:v>
      </x:c>
      <x:c r="AA49" s="40" t="n">
        <x:f>MAX(0,MIN($G49,100)-MAX($F49,96)+1)*$D49/$E49</x:f>
        <x:v>0</x:v>
      </x:c>
      <x:c r="AB49" s="40" t="n">
        <x:f>MAX(0,MIN($G49,105)-MAX($F49,101)+1)*$D49/$E49</x:f>
        <x:v>0</x:v>
      </x:c>
      <x:c r="AC49" s="40" t="n">
        <x:f>MAX(0,MIN($G49,110)-MAX($F49,106)+1)*$D49/$E49</x:f>
        <x:v>0</x:v>
      </x:c>
      <x:c r="AD49" s="40" t="n">
        <x:f>MAX(0,MIN($G49,115)-MAX($F49,111)+1)*$D49/$E49</x:f>
        <x:v>0</x:v>
      </x:c>
      <x:c r="AE49" s="40" t="n">
        <x:f>MAX(0,MIN($G49,120)-MAX($F49,116)+1)*$D49/$E49</x:f>
        <x:v>0</x:v>
      </x:c>
      <x:c r="AF49" s="40" t="n">
        <x:f>MAX(0,MIN($G49,125)-MAX($F49,121)+1)*$D49/$E49</x:f>
        <x:v>0</x:v>
      </x:c>
      <x:c r="AG49" s="40" t="n">
        <x:f>MAX(0,MIN($G49,130)-MAX($F49,126)+1)*$D49/$E49</x:f>
        <x:v>0</x:v>
      </x:c>
      <x:c r="AH49" s="40" t="n">
        <x:f>MAX(0,MIN($G49,135)-MAX($F49,131)+1)*$D49/$E49</x:f>
        <x:v>0</x:v>
      </x:c>
      <x:c r="AI49" s="40" t="n">
        <x:f>MAX(0,MIN($G49,140)-MAX($F49,136)+1)*$D49/$E49</x:f>
        <x:v>0</x:v>
      </x:c>
      <x:c r="AJ49" s="40" t="n">
        <x:f>MAX(0,MIN($G49,145)-MAX($F49,141)+1)*$D49/$E49</x:f>
        <x:v>0</x:v>
      </x:c>
      <x:c r="AK49" s="40" t="n">
        <x:f>MAX(0,MIN($G49,150)-MAX($F49,146)+1)*$D49/$E49</x:f>
        <x:v>0</x:v>
      </x:c>
      <x:c r="AL49" s="40" t="n">
        <x:f>MAX(0,MIN($G49,155)-MAX($F49,151)+1)*$D49/$E49</x:f>
        <x:v>0</x:v>
      </x:c>
      <x:c r="AM49" s="40" t="n">
        <x:f>MAX(0,MIN($G49,160)-MAX($F49,156)+1)*$D49/$E49</x:f>
        <x:v>0</x:v>
      </x:c>
      <x:c r="AN49" s="40" t="n">
        <x:f>MAX(0,MIN($G49,165)-MAX($F49,161)+1)*$D49/$E49</x:f>
        <x:v>0</x:v>
      </x:c>
      <x:c r="AO49" s="40" t="n">
        <x:f>MAX(0,MIN($G49,170)-MAX($F49,166)+1)*$D49/$E49</x:f>
        <x:v>0</x:v>
      </x:c>
      <x:c r="AP49" s="40" t="n">
        <x:f>MAX(0,MIN($G49,175)-MAX($F49,171)+1)*$D49/$E49</x:f>
        <x:v>0</x:v>
      </x:c>
      <x:c r="AQ49" s="40" t="n">
        <x:f>MAX(0,MIN($G49,180)-MAX($F49,176)+1)*$D49/$E49</x:f>
        <x:v>0</x:v>
      </x:c>
    </x:row>
    <x:row r="50" ht="27" customHeight="1">
      <x:c r="A50" s="10" t="str">
        <x:v>C08</x:v>
      </x:c>
      <x:c r="B50" s="10" t="str">
        <x:f>'Tasks'!D28</x:f>
        <x:v>PAE</x:v>
      </x:c>
      <x:c r="C50" s="10" t="str">
        <x:v>Owner</x:v>
      </x:c>
      <x:c r="D50" s="39" t="n">
        <x:f>'Tasks'!O28</x:f>
        <x:v>24</x:v>
      </x:c>
      <x:c r="E50" s="39" t="n">
        <x:f>'Tasks'!F28</x:f>
        <x:v>4</x:v>
      </x:c>
      <x:c r="F50" s="39" t="n">
        <x:f>'Tasks'!K28</x:f>
        <x:v>26</x:v>
      </x:c>
      <x:c r="G50" s="39" t="n">
        <x:f>'Tasks'!L28</x:f>
        <x:v>29</x:v>
      </x:c>
      <x:c r="H50" s="39" t="n">
        <x:f>MAX(0,MIN($G50,5)-MAX($F50,1)+1)*$D50/$E50</x:f>
        <x:v>0</x:v>
      </x:c>
      <x:c r="I50" s="39" t="n">
        <x:f>MAX(0,MIN($G50,10)-MAX($F50,6)+1)*$D50/$E50</x:f>
        <x:v>0</x:v>
      </x:c>
      <x:c r="J50" s="39" t="n">
        <x:f>MAX(0,MIN($G50,15)-MAX($F50,11)+1)*$D50/$E50</x:f>
        <x:v>0</x:v>
      </x:c>
      <x:c r="K50" s="39" t="n">
        <x:f>MAX(0,MIN($G50,20)-MAX($F50,16)+1)*$D50/$E50</x:f>
        <x:v>0</x:v>
      </x:c>
      <x:c r="L50" s="39" t="n">
        <x:f>MAX(0,MIN($G50,25)-MAX($F50,21)+1)*$D50/$E50</x:f>
        <x:v>0</x:v>
      </x:c>
      <x:c r="M50" s="39" t="n">
        <x:f>MAX(0,MIN($G50,30)-MAX($F50,26)+1)*$D50/$E50</x:f>
        <x:v>24</x:v>
      </x:c>
      <x:c r="N50" s="39" t="n">
        <x:f>MAX(0,MIN($G50,35)-MAX($F50,31)+1)*$D50/$E50</x:f>
        <x:v>0</x:v>
      </x:c>
      <x:c r="O50" s="39" t="n">
        <x:f>MAX(0,MIN($G50,40)-MAX($F50,36)+1)*$D50/$E50</x:f>
        <x:v>0</x:v>
      </x:c>
      <x:c r="P50" s="39" t="n">
        <x:f>MAX(0,MIN($G50,45)-MAX($F50,41)+1)*$D50/$E50</x:f>
        <x:v>0</x:v>
      </x:c>
      <x:c r="Q50" s="39" t="n">
        <x:f>MAX(0,MIN($G50,50)-MAX($F50,46)+1)*$D50/$E50</x:f>
        <x:v>0</x:v>
      </x:c>
      <x:c r="R50" s="39" t="n">
        <x:f>MAX(0,MIN($G50,55)-MAX($F50,51)+1)*$D50/$E50</x:f>
        <x:v>0</x:v>
      </x:c>
      <x:c r="S50" s="39" t="n">
        <x:f>MAX(0,MIN($G50,60)-MAX($F50,56)+1)*$D50/$E50</x:f>
        <x:v>0</x:v>
      </x:c>
      <x:c r="T50" s="39" t="n">
        <x:f>MAX(0,MIN($G50,65)-MAX($F50,61)+1)*$D50/$E50</x:f>
        <x:v>0</x:v>
      </x:c>
      <x:c r="U50" s="39" t="n">
        <x:f>MAX(0,MIN($G50,70)-MAX($F50,66)+1)*$D50/$E50</x:f>
        <x:v>0</x:v>
      </x:c>
      <x:c r="V50" s="39" t="n">
        <x:f>MAX(0,MIN($G50,75)-MAX($F50,71)+1)*$D50/$E50</x:f>
        <x:v>0</x:v>
      </x:c>
      <x:c r="W50" s="39" t="n">
        <x:f>MAX(0,MIN($G50,80)-MAX($F50,76)+1)*$D50/$E50</x:f>
        <x:v>0</x:v>
      </x:c>
      <x:c r="X50" s="39" t="n">
        <x:f>MAX(0,MIN($G50,85)-MAX($F50,81)+1)*$D50/$E50</x:f>
        <x:v>0</x:v>
      </x:c>
      <x:c r="Y50" s="39" t="n">
        <x:f>MAX(0,MIN($G50,90)-MAX($F50,86)+1)*$D50/$E50</x:f>
        <x:v>0</x:v>
      </x:c>
      <x:c r="Z50" s="39" t="n">
        <x:f>MAX(0,MIN($G50,95)-MAX($F50,91)+1)*$D50/$E50</x:f>
        <x:v>0</x:v>
      </x:c>
      <x:c r="AA50" s="39" t="n">
        <x:f>MAX(0,MIN($G50,100)-MAX($F50,96)+1)*$D50/$E50</x:f>
        <x:v>0</x:v>
      </x:c>
      <x:c r="AB50" s="39" t="n">
        <x:f>MAX(0,MIN($G50,105)-MAX($F50,101)+1)*$D50/$E50</x:f>
        <x:v>0</x:v>
      </x:c>
      <x:c r="AC50" s="39" t="n">
        <x:f>MAX(0,MIN($G50,110)-MAX($F50,106)+1)*$D50/$E50</x:f>
        <x:v>0</x:v>
      </x:c>
      <x:c r="AD50" s="39" t="n">
        <x:f>MAX(0,MIN($G50,115)-MAX($F50,111)+1)*$D50/$E50</x:f>
        <x:v>0</x:v>
      </x:c>
      <x:c r="AE50" s="39" t="n">
        <x:f>MAX(0,MIN($G50,120)-MAX($F50,116)+1)*$D50/$E50</x:f>
        <x:v>0</x:v>
      </x:c>
      <x:c r="AF50" s="39" t="n">
        <x:f>MAX(0,MIN($G50,125)-MAX($F50,121)+1)*$D50/$E50</x:f>
        <x:v>0</x:v>
      </x:c>
      <x:c r="AG50" s="39" t="n">
        <x:f>MAX(0,MIN($G50,130)-MAX($F50,126)+1)*$D50/$E50</x:f>
        <x:v>0</x:v>
      </x:c>
      <x:c r="AH50" s="39" t="n">
        <x:f>MAX(0,MIN($G50,135)-MAX($F50,131)+1)*$D50/$E50</x:f>
        <x:v>0</x:v>
      </x:c>
      <x:c r="AI50" s="39" t="n">
        <x:f>MAX(0,MIN($G50,140)-MAX($F50,136)+1)*$D50/$E50</x:f>
        <x:v>0</x:v>
      </x:c>
      <x:c r="AJ50" s="39" t="n">
        <x:f>MAX(0,MIN($G50,145)-MAX($F50,141)+1)*$D50/$E50</x:f>
        <x:v>0</x:v>
      </x:c>
      <x:c r="AK50" s="39" t="n">
        <x:f>MAX(0,MIN($G50,150)-MAX($F50,146)+1)*$D50/$E50</x:f>
        <x:v>0</x:v>
      </x:c>
      <x:c r="AL50" s="39" t="n">
        <x:f>MAX(0,MIN($G50,155)-MAX($F50,151)+1)*$D50/$E50</x:f>
        <x:v>0</x:v>
      </x:c>
      <x:c r="AM50" s="39" t="n">
        <x:f>MAX(0,MIN($G50,160)-MAX($F50,156)+1)*$D50/$E50</x:f>
        <x:v>0</x:v>
      </x:c>
      <x:c r="AN50" s="39" t="n">
        <x:f>MAX(0,MIN($G50,165)-MAX($F50,161)+1)*$D50/$E50</x:f>
        <x:v>0</x:v>
      </x:c>
      <x:c r="AO50" s="39" t="n">
        <x:f>MAX(0,MIN($G50,170)-MAX($F50,166)+1)*$D50/$E50</x:f>
        <x:v>0</x:v>
      </x:c>
      <x:c r="AP50" s="39" t="n">
        <x:f>MAX(0,MIN($G50,175)-MAX($F50,171)+1)*$D50/$E50</x:f>
        <x:v>0</x:v>
      </x:c>
      <x:c r="AQ50" s="39" t="n">
        <x:f>MAX(0,MIN($G50,180)-MAX($F50,176)+1)*$D50/$E50</x:f>
        <x:v>0</x:v>
      </x:c>
    </x:row>
    <x:row r="51" ht="27" customHeight="1">
      <x:c r="A51" s="9" t="str">
        <x:v>C08</x:v>
      </x:c>
      <x:c r="B51" s="9" t="str">
        <x:f>'Tasks'!P28</x:f>
        <x:v>EXP</x:v>
      </x:c>
      <x:c r="C51" s="9" t="str">
        <x:v>Review</x:v>
      </x:c>
      <x:c r="D51" s="40" t="n">
        <x:f>'Tasks'!Q28</x:f>
        <x:v>6</x:v>
      </x:c>
      <x:c r="E51" s="40" t="n">
        <x:f>'Tasks'!F28</x:f>
        <x:v>4</x:v>
      </x:c>
      <x:c r="F51" s="40" t="n">
        <x:f>'Tasks'!K28</x:f>
        <x:v>26</x:v>
      </x:c>
      <x:c r="G51" s="40" t="n">
        <x:f>'Tasks'!L28</x:f>
        <x:v>29</x:v>
      </x:c>
      <x:c r="H51" s="40" t="n">
        <x:f>MAX(0,MIN($G51,5)-MAX($F51,1)+1)*$D51/$E51</x:f>
        <x:v>0</x:v>
      </x:c>
      <x:c r="I51" s="40" t="n">
        <x:f>MAX(0,MIN($G51,10)-MAX($F51,6)+1)*$D51/$E51</x:f>
        <x:v>0</x:v>
      </x:c>
      <x:c r="J51" s="40" t="n">
        <x:f>MAX(0,MIN($G51,15)-MAX($F51,11)+1)*$D51/$E51</x:f>
        <x:v>0</x:v>
      </x:c>
      <x:c r="K51" s="40" t="n">
        <x:f>MAX(0,MIN($G51,20)-MAX($F51,16)+1)*$D51/$E51</x:f>
        <x:v>0</x:v>
      </x:c>
      <x:c r="L51" s="40" t="n">
        <x:f>MAX(0,MIN($G51,25)-MAX($F51,21)+1)*$D51/$E51</x:f>
        <x:v>0</x:v>
      </x:c>
      <x:c r="M51" s="40" t="n">
        <x:f>MAX(0,MIN($G51,30)-MAX($F51,26)+1)*$D51/$E51</x:f>
        <x:v>6</x:v>
      </x:c>
      <x:c r="N51" s="40" t="n">
        <x:f>MAX(0,MIN($G51,35)-MAX($F51,31)+1)*$D51/$E51</x:f>
        <x:v>0</x:v>
      </x:c>
      <x:c r="O51" s="40" t="n">
        <x:f>MAX(0,MIN($G51,40)-MAX($F51,36)+1)*$D51/$E51</x:f>
        <x:v>0</x:v>
      </x:c>
      <x:c r="P51" s="40" t="n">
        <x:f>MAX(0,MIN($G51,45)-MAX($F51,41)+1)*$D51/$E51</x:f>
        <x:v>0</x:v>
      </x:c>
      <x:c r="Q51" s="40" t="n">
        <x:f>MAX(0,MIN($G51,50)-MAX($F51,46)+1)*$D51/$E51</x:f>
        <x:v>0</x:v>
      </x:c>
      <x:c r="R51" s="40" t="n">
        <x:f>MAX(0,MIN($G51,55)-MAX($F51,51)+1)*$D51/$E51</x:f>
        <x:v>0</x:v>
      </x:c>
      <x:c r="S51" s="40" t="n">
        <x:f>MAX(0,MIN($G51,60)-MAX($F51,56)+1)*$D51/$E51</x:f>
        <x:v>0</x:v>
      </x:c>
      <x:c r="T51" s="40" t="n">
        <x:f>MAX(0,MIN($G51,65)-MAX($F51,61)+1)*$D51/$E51</x:f>
        <x:v>0</x:v>
      </x:c>
      <x:c r="U51" s="40" t="n">
        <x:f>MAX(0,MIN($G51,70)-MAX($F51,66)+1)*$D51/$E51</x:f>
        <x:v>0</x:v>
      </x:c>
      <x:c r="V51" s="40" t="n">
        <x:f>MAX(0,MIN($G51,75)-MAX($F51,71)+1)*$D51/$E51</x:f>
        <x:v>0</x:v>
      </x:c>
      <x:c r="W51" s="40" t="n">
        <x:f>MAX(0,MIN($G51,80)-MAX($F51,76)+1)*$D51/$E51</x:f>
        <x:v>0</x:v>
      </x:c>
      <x:c r="X51" s="40" t="n">
        <x:f>MAX(0,MIN($G51,85)-MAX($F51,81)+1)*$D51/$E51</x:f>
        <x:v>0</x:v>
      </x:c>
      <x:c r="Y51" s="40" t="n">
        <x:f>MAX(0,MIN($G51,90)-MAX($F51,86)+1)*$D51/$E51</x:f>
        <x:v>0</x:v>
      </x:c>
      <x:c r="Z51" s="40" t="n">
        <x:f>MAX(0,MIN($G51,95)-MAX($F51,91)+1)*$D51/$E51</x:f>
        <x:v>0</x:v>
      </x:c>
      <x:c r="AA51" s="40" t="n">
        <x:f>MAX(0,MIN($G51,100)-MAX($F51,96)+1)*$D51/$E51</x:f>
        <x:v>0</x:v>
      </x:c>
      <x:c r="AB51" s="40" t="n">
        <x:f>MAX(0,MIN($G51,105)-MAX($F51,101)+1)*$D51/$E51</x:f>
        <x:v>0</x:v>
      </x:c>
      <x:c r="AC51" s="40" t="n">
        <x:f>MAX(0,MIN($G51,110)-MAX($F51,106)+1)*$D51/$E51</x:f>
        <x:v>0</x:v>
      </x:c>
      <x:c r="AD51" s="40" t="n">
        <x:f>MAX(0,MIN($G51,115)-MAX($F51,111)+1)*$D51/$E51</x:f>
        <x:v>0</x:v>
      </x:c>
      <x:c r="AE51" s="40" t="n">
        <x:f>MAX(0,MIN($G51,120)-MAX($F51,116)+1)*$D51/$E51</x:f>
        <x:v>0</x:v>
      </x:c>
      <x:c r="AF51" s="40" t="n">
        <x:f>MAX(0,MIN($G51,125)-MAX($F51,121)+1)*$D51/$E51</x:f>
        <x:v>0</x:v>
      </x:c>
      <x:c r="AG51" s="40" t="n">
        <x:f>MAX(0,MIN($G51,130)-MAX($F51,126)+1)*$D51/$E51</x:f>
        <x:v>0</x:v>
      </x:c>
      <x:c r="AH51" s="40" t="n">
        <x:f>MAX(0,MIN($G51,135)-MAX($F51,131)+1)*$D51/$E51</x:f>
        <x:v>0</x:v>
      </x:c>
      <x:c r="AI51" s="40" t="n">
        <x:f>MAX(0,MIN($G51,140)-MAX($F51,136)+1)*$D51/$E51</x:f>
        <x:v>0</x:v>
      </x:c>
      <x:c r="AJ51" s="40" t="n">
        <x:f>MAX(0,MIN($G51,145)-MAX($F51,141)+1)*$D51/$E51</x:f>
        <x:v>0</x:v>
      </x:c>
      <x:c r="AK51" s="40" t="n">
        <x:f>MAX(0,MIN($G51,150)-MAX($F51,146)+1)*$D51/$E51</x:f>
        <x:v>0</x:v>
      </x:c>
      <x:c r="AL51" s="40" t="n">
        <x:f>MAX(0,MIN($G51,155)-MAX($F51,151)+1)*$D51/$E51</x:f>
        <x:v>0</x:v>
      </x:c>
      <x:c r="AM51" s="40" t="n">
        <x:f>MAX(0,MIN($G51,160)-MAX($F51,156)+1)*$D51/$E51</x:f>
        <x:v>0</x:v>
      </x:c>
      <x:c r="AN51" s="40" t="n">
        <x:f>MAX(0,MIN($G51,165)-MAX($F51,161)+1)*$D51/$E51</x:f>
        <x:v>0</x:v>
      </x:c>
      <x:c r="AO51" s="40" t="n">
        <x:f>MAX(0,MIN($G51,170)-MAX($F51,166)+1)*$D51/$E51</x:f>
        <x:v>0</x:v>
      </x:c>
      <x:c r="AP51" s="40" t="n">
        <x:f>MAX(0,MIN($G51,175)-MAX($F51,171)+1)*$D51/$E51</x:f>
        <x:v>0</x:v>
      </x:c>
      <x:c r="AQ51" s="40" t="n">
        <x:f>MAX(0,MIN($G51,180)-MAX($F51,176)+1)*$D51/$E51</x:f>
        <x:v>0</x:v>
      </x:c>
    </x:row>
    <x:row r="52" ht="27" customHeight="1">
      <x:c r="A52" s="10" t="str">
        <x:v>C09</x:v>
      </x:c>
      <x:c r="B52" s="10" t="str">
        <x:f>'Tasks'!D29</x:f>
        <x:v>KE</x:v>
      </x:c>
      <x:c r="C52" s="10" t="str">
        <x:v>Owner</x:v>
      </x:c>
      <x:c r="D52" s="39" t="n">
        <x:f>'Tasks'!O29</x:f>
        <x:v>20</x:v>
      </x:c>
      <x:c r="E52" s="39" t="n">
        <x:f>'Tasks'!F29</x:f>
        <x:v>4</x:v>
      </x:c>
      <x:c r="F52" s="39" t="n">
        <x:f>'Tasks'!K29</x:f>
        <x:v>30</x:v>
      </x:c>
      <x:c r="G52" s="39" t="n">
        <x:f>'Tasks'!L29</x:f>
        <x:v>33</x:v>
      </x:c>
      <x:c r="H52" s="39" t="n">
        <x:f>MAX(0,MIN($G52,5)-MAX($F52,1)+1)*$D52/$E52</x:f>
        <x:v>0</x:v>
      </x:c>
      <x:c r="I52" s="39" t="n">
        <x:f>MAX(0,MIN($G52,10)-MAX($F52,6)+1)*$D52/$E52</x:f>
        <x:v>0</x:v>
      </x:c>
      <x:c r="J52" s="39" t="n">
        <x:f>MAX(0,MIN($G52,15)-MAX($F52,11)+1)*$D52/$E52</x:f>
        <x:v>0</x:v>
      </x:c>
      <x:c r="K52" s="39" t="n">
        <x:f>MAX(0,MIN($G52,20)-MAX($F52,16)+1)*$D52/$E52</x:f>
        <x:v>0</x:v>
      </x:c>
      <x:c r="L52" s="39" t="n">
        <x:f>MAX(0,MIN($G52,25)-MAX($F52,21)+1)*$D52/$E52</x:f>
        <x:v>0</x:v>
      </x:c>
      <x:c r="M52" s="39" t="n">
        <x:f>MAX(0,MIN($G52,30)-MAX($F52,26)+1)*$D52/$E52</x:f>
        <x:v>5</x:v>
      </x:c>
      <x:c r="N52" s="39" t="n">
        <x:f>MAX(0,MIN($G52,35)-MAX($F52,31)+1)*$D52/$E52</x:f>
        <x:v>15</x:v>
      </x:c>
      <x:c r="O52" s="39" t="n">
        <x:f>MAX(0,MIN($G52,40)-MAX($F52,36)+1)*$D52/$E52</x:f>
        <x:v>0</x:v>
      </x:c>
      <x:c r="P52" s="39" t="n">
        <x:f>MAX(0,MIN($G52,45)-MAX($F52,41)+1)*$D52/$E52</x:f>
        <x:v>0</x:v>
      </x:c>
      <x:c r="Q52" s="39" t="n">
        <x:f>MAX(0,MIN($G52,50)-MAX($F52,46)+1)*$D52/$E52</x:f>
        <x:v>0</x:v>
      </x:c>
      <x:c r="R52" s="39" t="n">
        <x:f>MAX(0,MIN($G52,55)-MAX($F52,51)+1)*$D52/$E52</x:f>
        <x:v>0</x:v>
      </x:c>
      <x:c r="S52" s="39" t="n">
        <x:f>MAX(0,MIN($G52,60)-MAX($F52,56)+1)*$D52/$E52</x:f>
        <x:v>0</x:v>
      </x:c>
      <x:c r="T52" s="39" t="n">
        <x:f>MAX(0,MIN($G52,65)-MAX($F52,61)+1)*$D52/$E52</x:f>
        <x:v>0</x:v>
      </x:c>
      <x:c r="U52" s="39" t="n">
        <x:f>MAX(0,MIN($G52,70)-MAX($F52,66)+1)*$D52/$E52</x:f>
        <x:v>0</x:v>
      </x:c>
      <x:c r="V52" s="39" t="n">
        <x:f>MAX(0,MIN($G52,75)-MAX($F52,71)+1)*$D52/$E52</x:f>
        <x:v>0</x:v>
      </x:c>
      <x:c r="W52" s="39" t="n">
        <x:f>MAX(0,MIN($G52,80)-MAX($F52,76)+1)*$D52/$E52</x:f>
        <x:v>0</x:v>
      </x:c>
      <x:c r="X52" s="39" t="n">
        <x:f>MAX(0,MIN($G52,85)-MAX($F52,81)+1)*$D52/$E52</x:f>
        <x:v>0</x:v>
      </x:c>
      <x:c r="Y52" s="39" t="n">
        <x:f>MAX(0,MIN($G52,90)-MAX($F52,86)+1)*$D52/$E52</x:f>
        <x:v>0</x:v>
      </x:c>
      <x:c r="Z52" s="39" t="n">
        <x:f>MAX(0,MIN($G52,95)-MAX($F52,91)+1)*$D52/$E52</x:f>
        <x:v>0</x:v>
      </x:c>
      <x:c r="AA52" s="39" t="n">
        <x:f>MAX(0,MIN($G52,100)-MAX($F52,96)+1)*$D52/$E52</x:f>
        <x:v>0</x:v>
      </x:c>
      <x:c r="AB52" s="39" t="n">
        <x:f>MAX(0,MIN($G52,105)-MAX($F52,101)+1)*$D52/$E52</x:f>
        <x:v>0</x:v>
      </x:c>
      <x:c r="AC52" s="39" t="n">
        <x:f>MAX(0,MIN($G52,110)-MAX($F52,106)+1)*$D52/$E52</x:f>
        <x:v>0</x:v>
      </x:c>
      <x:c r="AD52" s="39" t="n">
        <x:f>MAX(0,MIN($G52,115)-MAX($F52,111)+1)*$D52/$E52</x:f>
        <x:v>0</x:v>
      </x:c>
      <x:c r="AE52" s="39" t="n">
        <x:f>MAX(0,MIN($G52,120)-MAX($F52,116)+1)*$D52/$E52</x:f>
        <x:v>0</x:v>
      </x:c>
      <x:c r="AF52" s="39" t="n">
        <x:f>MAX(0,MIN($G52,125)-MAX($F52,121)+1)*$D52/$E52</x:f>
        <x:v>0</x:v>
      </x:c>
      <x:c r="AG52" s="39" t="n">
        <x:f>MAX(0,MIN($G52,130)-MAX($F52,126)+1)*$D52/$E52</x:f>
        <x:v>0</x:v>
      </x:c>
      <x:c r="AH52" s="39" t="n">
        <x:f>MAX(0,MIN($G52,135)-MAX($F52,131)+1)*$D52/$E52</x:f>
        <x:v>0</x:v>
      </x:c>
      <x:c r="AI52" s="39" t="n">
        <x:f>MAX(0,MIN($G52,140)-MAX($F52,136)+1)*$D52/$E52</x:f>
        <x:v>0</x:v>
      </x:c>
      <x:c r="AJ52" s="39" t="n">
        <x:f>MAX(0,MIN($G52,145)-MAX($F52,141)+1)*$D52/$E52</x:f>
        <x:v>0</x:v>
      </x:c>
      <x:c r="AK52" s="39" t="n">
        <x:f>MAX(0,MIN($G52,150)-MAX($F52,146)+1)*$D52/$E52</x:f>
        <x:v>0</x:v>
      </x:c>
      <x:c r="AL52" s="39" t="n">
        <x:f>MAX(0,MIN($G52,155)-MAX($F52,151)+1)*$D52/$E52</x:f>
        <x:v>0</x:v>
      </x:c>
      <x:c r="AM52" s="39" t="n">
        <x:f>MAX(0,MIN($G52,160)-MAX($F52,156)+1)*$D52/$E52</x:f>
        <x:v>0</x:v>
      </x:c>
      <x:c r="AN52" s="39" t="n">
        <x:f>MAX(0,MIN($G52,165)-MAX($F52,161)+1)*$D52/$E52</x:f>
        <x:v>0</x:v>
      </x:c>
      <x:c r="AO52" s="39" t="n">
        <x:f>MAX(0,MIN($G52,170)-MAX($F52,166)+1)*$D52/$E52</x:f>
        <x:v>0</x:v>
      </x:c>
      <x:c r="AP52" s="39" t="n">
        <x:f>MAX(0,MIN($G52,175)-MAX($F52,171)+1)*$D52/$E52</x:f>
        <x:v>0</x:v>
      </x:c>
      <x:c r="AQ52" s="39" t="n">
        <x:f>MAX(0,MIN($G52,180)-MAX($F52,176)+1)*$D52/$E52</x:f>
        <x:v>0</x:v>
      </x:c>
    </x:row>
    <x:row r="53" ht="27" customHeight="1">
      <x:c r="A53" s="9" t="str">
        <x:v>C09</x:v>
      </x:c>
      <x:c r="B53" s="9" t="str">
        <x:f>'Tasks'!P29</x:f>
        <x:v>EXP</x:v>
      </x:c>
      <x:c r="C53" s="9" t="str">
        <x:v>Review</x:v>
      </x:c>
      <x:c r="D53" s="40" t="n">
        <x:f>'Tasks'!Q29</x:f>
        <x:v>10</x:v>
      </x:c>
      <x:c r="E53" s="40" t="n">
        <x:f>'Tasks'!F29</x:f>
        <x:v>4</x:v>
      </x:c>
      <x:c r="F53" s="40" t="n">
        <x:f>'Tasks'!K29</x:f>
        <x:v>30</x:v>
      </x:c>
      <x:c r="G53" s="40" t="n">
        <x:f>'Tasks'!L29</x:f>
        <x:v>33</x:v>
      </x:c>
      <x:c r="H53" s="40" t="n">
        <x:f>MAX(0,MIN($G53,5)-MAX($F53,1)+1)*$D53/$E53</x:f>
        <x:v>0</x:v>
      </x:c>
      <x:c r="I53" s="40" t="n">
        <x:f>MAX(0,MIN($G53,10)-MAX($F53,6)+1)*$D53/$E53</x:f>
        <x:v>0</x:v>
      </x:c>
      <x:c r="J53" s="40" t="n">
        <x:f>MAX(0,MIN($G53,15)-MAX($F53,11)+1)*$D53/$E53</x:f>
        <x:v>0</x:v>
      </x:c>
      <x:c r="K53" s="40" t="n">
        <x:f>MAX(0,MIN($G53,20)-MAX($F53,16)+1)*$D53/$E53</x:f>
        <x:v>0</x:v>
      </x:c>
      <x:c r="L53" s="40" t="n">
        <x:f>MAX(0,MIN($G53,25)-MAX($F53,21)+1)*$D53/$E53</x:f>
        <x:v>0</x:v>
      </x:c>
      <x:c r="M53" s="40" t="n">
        <x:f>MAX(0,MIN($G53,30)-MAX($F53,26)+1)*$D53/$E53</x:f>
        <x:v>2.5</x:v>
      </x:c>
      <x:c r="N53" s="40" t="n">
        <x:f>MAX(0,MIN($G53,35)-MAX($F53,31)+1)*$D53/$E53</x:f>
        <x:v>7.5</x:v>
      </x:c>
      <x:c r="O53" s="40" t="n">
        <x:f>MAX(0,MIN($G53,40)-MAX($F53,36)+1)*$D53/$E53</x:f>
        <x:v>0</x:v>
      </x:c>
      <x:c r="P53" s="40" t="n">
        <x:f>MAX(0,MIN($G53,45)-MAX($F53,41)+1)*$D53/$E53</x:f>
        <x:v>0</x:v>
      </x:c>
      <x:c r="Q53" s="40" t="n">
        <x:f>MAX(0,MIN($G53,50)-MAX($F53,46)+1)*$D53/$E53</x:f>
        <x:v>0</x:v>
      </x:c>
      <x:c r="R53" s="40" t="n">
        <x:f>MAX(0,MIN($G53,55)-MAX($F53,51)+1)*$D53/$E53</x:f>
        <x:v>0</x:v>
      </x:c>
      <x:c r="S53" s="40" t="n">
        <x:f>MAX(0,MIN($G53,60)-MAX($F53,56)+1)*$D53/$E53</x:f>
        <x:v>0</x:v>
      </x:c>
      <x:c r="T53" s="40" t="n">
        <x:f>MAX(0,MIN($G53,65)-MAX($F53,61)+1)*$D53/$E53</x:f>
        <x:v>0</x:v>
      </x:c>
      <x:c r="U53" s="40" t="n">
        <x:f>MAX(0,MIN($G53,70)-MAX($F53,66)+1)*$D53/$E53</x:f>
        <x:v>0</x:v>
      </x:c>
      <x:c r="V53" s="40" t="n">
        <x:f>MAX(0,MIN($G53,75)-MAX($F53,71)+1)*$D53/$E53</x:f>
        <x:v>0</x:v>
      </x:c>
      <x:c r="W53" s="40" t="n">
        <x:f>MAX(0,MIN($G53,80)-MAX($F53,76)+1)*$D53/$E53</x:f>
        <x:v>0</x:v>
      </x:c>
      <x:c r="X53" s="40" t="n">
        <x:f>MAX(0,MIN($G53,85)-MAX($F53,81)+1)*$D53/$E53</x:f>
        <x:v>0</x:v>
      </x:c>
      <x:c r="Y53" s="40" t="n">
        <x:f>MAX(0,MIN($G53,90)-MAX($F53,86)+1)*$D53/$E53</x:f>
        <x:v>0</x:v>
      </x:c>
      <x:c r="Z53" s="40" t="n">
        <x:f>MAX(0,MIN($G53,95)-MAX($F53,91)+1)*$D53/$E53</x:f>
        <x:v>0</x:v>
      </x:c>
      <x:c r="AA53" s="40" t="n">
        <x:f>MAX(0,MIN($G53,100)-MAX($F53,96)+1)*$D53/$E53</x:f>
        <x:v>0</x:v>
      </x:c>
      <x:c r="AB53" s="40" t="n">
        <x:f>MAX(0,MIN($G53,105)-MAX($F53,101)+1)*$D53/$E53</x:f>
        <x:v>0</x:v>
      </x:c>
      <x:c r="AC53" s="40" t="n">
        <x:f>MAX(0,MIN($G53,110)-MAX($F53,106)+1)*$D53/$E53</x:f>
        <x:v>0</x:v>
      </x:c>
      <x:c r="AD53" s="40" t="n">
        <x:f>MAX(0,MIN($G53,115)-MAX($F53,111)+1)*$D53/$E53</x:f>
        <x:v>0</x:v>
      </x:c>
      <x:c r="AE53" s="40" t="n">
        <x:f>MAX(0,MIN($G53,120)-MAX($F53,116)+1)*$D53/$E53</x:f>
        <x:v>0</x:v>
      </x:c>
      <x:c r="AF53" s="40" t="n">
        <x:f>MAX(0,MIN($G53,125)-MAX($F53,121)+1)*$D53/$E53</x:f>
        <x:v>0</x:v>
      </x:c>
      <x:c r="AG53" s="40" t="n">
        <x:f>MAX(0,MIN($G53,130)-MAX($F53,126)+1)*$D53/$E53</x:f>
        <x:v>0</x:v>
      </x:c>
      <x:c r="AH53" s="40" t="n">
        <x:f>MAX(0,MIN($G53,135)-MAX($F53,131)+1)*$D53/$E53</x:f>
        <x:v>0</x:v>
      </x:c>
      <x:c r="AI53" s="40" t="n">
        <x:f>MAX(0,MIN($G53,140)-MAX($F53,136)+1)*$D53/$E53</x:f>
        <x:v>0</x:v>
      </x:c>
      <x:c r="AJ53" s="40" t="n">
        <x:f>MAX(0,MIN($G53,145)-MAX($F53,141)+1)*$D53/$E53</x:f>
        <x:v>0</x:v>
      </x:c>
      <x:c r="AK53" s="40" t="n">
        <x:f>MAX(0,MIN($G53,150)-MAX($F53,146)+1)*$D53/$E53</x:f>
        <x:v>0</x:v>
      </x:c>
      <x:c r="AL53" s="40" t="n">
        <x:f>MAX(0,MIN($G53,155)-MAX($F53,151)+1)*$D53/$E53</x:f>
        <x:v>0</x:v>
      </x:c>
      <x:c r="AM53" s="40" t="n">
        <x:f>MAX(0,MIN($G53,160)-MAX($F53,156)+1)*$D53/$E53</x:f>
        <x:v>0</x:v>
      </x:c>
      <x:c r="AN53" s="40" t="n">
        <x:f>MAX(0,MIN($G53,165)-MAX($F53,161)+1)*$D53/$E53</x:f>
        <x:v>0</x:v>
      </x:c>
      <x:c r="AO53" s="40" t="n">
        <x:f>MAX(0,MIN($G53,170)-MAX($F53,166)+1)*$D53/$E53</x:f>
        <x:v>0</x:v>
      </x:c>
      <x:c r="AP53" s="40" t="n">
        <x:f>MAX(0,MIN($G53,175)-MAX($F53,171)+1)*$D53/$E53</x:f>
        <x:v>0</x:v>
      </x:c>
      <x:c r="AQ53" s="40" t="n">
        <x:f>MAX(0,MIN($G53,180)-MAX($F53,176)+1)*$D53/$E53</x:f>
        <x:v>0</x:v>
      </x:c>
    </x:row>
    <x:row r="54" ht="27" customHeight="1">
      <x:c r="A54" s="10" t="str">
        <x:v>C10</x:v>
      </x:c>
      <x:c r="B54" s="10" t="str">
        <x:f>'Tasks'!D30</x:f>
        <x:v>PAE</x:v>
      </x:c>
      <x:c r="C54" s="10" t="str">
        <x:v>Owner</x:v>
      </x:c>
      <x:c r="D54" s="39" t="n">
        <x:f>'Tasks'!O30</x:f>
        <x:v>22</x:v>
      </x:c>
      <x:c r="E54" s="39" t="n">
        <x:f>'Tasks'!F30</x:f>
        <x:v>4</x:v>
      </x:c>
      <x:c r="F54" s="39" t="n">
        <x:f>'Tasks'!K30</x:f>
        <x:v>35</x:v>
      </x:c>
      <x:c r="G54" s="39" t="n">
        <x:f>'Tasks'!L30</x:f>
        <x:v>38</x:v>
      </x:c>
      <x:c r="H54" s="39" t="n">
        <x:f>MAX(0,MIN($G54,5)-MAX($F54,1)+1)*$D54/$E54</x:f>
        <x:v>0</x:v>
      </x:c>
      <x:c r="I54" s="39" t="n">
        <x:f>MAX(0,MIN($G54,10)-MAX($F54,6)+1)*$D54/$E54</x:f>
        <x:v>0</x:v>
      </x:c>
      <x:c r="J54" s="39" t="n">
        <x:f>MAX(0,MIN($G54,15)-MAX($F54,11)+1)*$D54/$E54</x:f>
        <x:v>0</x:v>
      </x:c>
      <x:c r="K54" s="39" t="n">
        <x:f>MAX(0,MIN($G54,20)-MAX($F54,16)+1)*$D54/$E54</x:f>
        <x:v>0</x:v>
      </x:c>
      <x:c r="L54" s="39" t="n">
        <x:f>MAX(0,MIN($G54,25)-MAX($F54,21)+1)*$D54/$E54</x:f>
        <x:v>0</x:v>
      </x:c>
      <x:c r="M54" s="39" t="n">
        <x:f>MAX(0,MIN($G54,30)-MAX($F54,26)+1)*$D54/$E54</x:f>
        <x:v>0</x:v>
      </x:c>
      <x:c r="N54" s="39" t="n">
        <x:f>MAX(0,MIN($G54,35)-MAX($F54,31)+1)*$D54/$E54</x:f>
        <x:v>5.5</x:v>
      </x:c>
      <x:c r="O54" s="39" t="n">
        <x:f>MAX(0,MIN($G54,40)-MAX($F54,36)+1)*$D54/$E54</x:f>
        <x:v>16.5</x:v>
      </x:c>
      <x:c r="P54" s="39" t="n">
        <x:f>MAX(0,MIN($G54,45)-MAX($F54,41)+1)*$D54/$E54</x:f>
        <x:v>0</x:v>
      </x:c>
      <x:c r="Q54" s="39" t="n">
        <x:f>MAX(0,MIN($G54,50)-MAX($F54,46)+1)*$D54/$E54</x:f>
        <x:v>0</x:v>
      </x:c>
      <x:c r="R54" s="39" t="n">
        <x:f>MAX(0,MIN($G54,55)-MAX($F54,51)+1)*$D54/$E54</x:f>
        <x:v>0</x:v>
      </x:c>
      <x:c r="S54" s="39" t="n">
        <x:f>MAX(0,MIN($G54,60)-MAX($F54,56)+1)*$D54/$E54</x:f>
        <x:v>0</x:v>
      </x:c>
      <x:c r="T54" s="39" t="n">
        <x:f>MAX(0,MIN($G54,65)-MAX($F54,61)+1)*$D54/$E54</x:f>
        <x:v>0</x:v>
      </x:c>
      <x:c r="U54" s="39" t="n">
        <x:f>MAX(0,MIN($G54,70)-MAX($F54,66)+1)*$D54/$E54</x:f>
        <x:v>0</x:v>
      </x:c>
      <x:c r="V54" s="39" t="n">
        <x:f>MAX(0,MIN($G54,75)-MAX($F54,71)+1)*$D54/$E54</x:f>
        <x:v>0</x:v>
      </x:c>
      <x:c r="W54" s="39" t="n">
        <x:f>MAX(0,MIN($G54,80)-MAX($F54,76)+1)*$D54/$E54</x:f>
        <x:v>0</x:v>
      </x:c>
      <x:c r="X54" s="39" t="n">
        <x:f>MAX(0,MIN($G54,85)-MAX($F54,81)+1)*$D54/$E54</x:f>
        <x:v>0</x:v>
      </x:c>
      <x:c r="Y54" s="39" t="n">
        <x:f>MAX(0,MIN($G54,90)-MAX($F54,86)+1)*$D54/$E54</x:f>
        <x:v>0</x:v>
      </x:c>
      <x:c r="Z54" s="39" t="n">
        <x:f>MAX(0,MIN($G54,95)-MAX($F54,91)+1)*$D54/$E54</x:f>
        <x:v>0</x:v>
      </x:c>
      <x:c r="AA54" s="39" t="n">
        <x:f>MAX(0,MIN($G54,100)-MAX($F54,96)+1)*$D54/$E54</x:f>
        <x:v>0</x:v>
      </x:c>
      <x:c r="AB54" s="39" t="n">
        <x:f>MAX(0,MIN($G54,105)-MAX($F54,101)+1)*$D54/$E54</x:f>
        <x:v>0</x:v>
      </x:c>
      <x:c r="AC54" s="39" t="n">
        <x:f>MAX(0,MIN($G54,110)-MAX($F54,106)+1)*$D54/$E54</x:f>
        <x:v>0</x:v>
      </x:c>
      <x:c r="AD54" s="39" t="n">
        <x:f>MAX(0,MIN($G54,115)-MAX($F54,111)+1)*$D54/$E54</x:f>
        <x:v>0</x:v>
      </x:c>
      <x:c r="AE54" s="39" t="n">
        <x:f>MAX(0,MIN($G54,120)-MAX($F54,116)+1)*$D54/$E54</x:f>
        <x:v>0</x:v>
      </x:c>
      <x:c r="AF54" s="39" t="n">
        <x:f>MAX(0,MIN($G54,125)-MAX($F54,121)+1)*$D54/$E54</x:f>
        <x:v>0</x:v>
      </x:c>
      <x:c r="AG54" s="39" t="n">
        <x:f>MAX(0,MIN($G54,130)-MAX($F54,126)+1)*$D54/$E54</x:f>
        <x:v>0</x:v>
      </x:c>
      <x:c r="AH54" s="39" t="n">
        <x:f>MAX(0,MIN($G54,135)-MAX($F54,131)+1)*$D54/$E54</x:f>
        <x:v>0</x:v>
      </x:c>
      <x:c r="AI54" s="39" t="n">
        <x:f>MAX(0,MIN($G54,140)-MAX($F54,136)+1)*$D54/$E54</x:f>
        <x:v>0</x:v>
      </x:c>
      <x:c r="AJ54" s="39" t="n">
        <x:f>MAX(0,MIN($G54,145)-MAX($F54,141)+1)*$D54/$E54</x:f>
        <x:v>0</x:v>
      </x:c>
      <x:c r="AK54" s="39" t="n">
        <x:f>MAX(0,MIN($G54,150)-MAX($F54,146)+1)*$D54/$E54</x:f>
        <x:v>0</x:v>
      </x:c>
      <x:c r="AL54" s="39" t="n">
        <x:f>MAX(0,MIN($G54,155)-MAX($F54,151)+1)*$D54/$E54</x:f>
        <x:v>0</x:v>
      </x:c>
      <x:c r="AM54" s="39" t="n">
        <x:f>MAX(0,MIN($G54,160)-MAX($F54,156)+1)*$D54/$E54</x:f>
        <x:v>0</x:v>
      </x:c>
      <x:c r="AN54" s="39" t="n">
        <x:f>MAX(0,MIN($G54,165)-MAX($F54,161)+1)*$D54/$E54</x:f>
        <x:v>0</x:v>
      </x:c>
      <x:c r="AO54" s="39" t="n">
        <x:f>MAX(0,MIN($G54,170)-MAX($F54,166)+1)*$D54/$E54</x:f>
        <x:v>0</x:v>
      </x:c>
      <x:c r="AP54" s="39" t="n">
        <x:f>MAX(0,MIN($G54,175)-MAX($F54,171)+1)*$D54/$E54</x:f>
        <x:v>0</x:v>
      </x:c>
      <x:c r="AQ54" s="39" t="n">
        <x:f>MAX(0,MIN($G54,180)-MAX($F54,176)+1)*$D54/$E54</x:f>
        <x:v>0</x:v>
      </x:c>
    </x:row>
    <x:row r="55" ht="27" customHeight="1">
      <x:c r="A55" s="9" t="str">
        <x:v>C10</x:v>
      </x:c>
      <x:c r="B55" s="9" t="str">
        <x:f>'Tasks'!P30</x:f>
        <x:v>EXP</x:v>
      </x:c>
      <x:c r="C55" s="9" t="str">
        <x:v>Review</x:v>
      </x:c>
      <x:c r="D55" s="40" t="n">
        <x:f>'Tasks'!Q30</x:f>
        <x:v>8</x:v>
      </x:c>
      <x:c r="E55" s="40" t="n">
        <x:f>'Tasks'!F30</x:f>
        <x:v>4</x:v>
      </x:c>
      <x:c r="F55" s="40" t="n">
        <x:f>'Tasks'!K30</x:f>
        <x:v>35</x:v>
      </x:c>
      <x:c r="G55" s="40" t="n">
        <x:f>'Tasks'!L30</x:f>
        <x:v>38</x:v>
      </x:c>
      <x:c r="H55" s="40" t="n">
        <x:f>MAX(0,MIN($G55,5)-MAX($F55,1)+1)*$D55/$E55</x:f>
        <x:v>0</x:v>
      </x:c>
      <x:c r="I55" s="40" t="n">
        <x:f>MAX(0,MIN($G55,10)-MAX($F55,6)+1)*$D55/$E55</x:f>
        <x:v>0</x:v>
      </x:c>
      <x:c r="J55" s="40" t="n">
        <x:f>MAX(0,MIN($G55,15)-MAX($F55,11)+1)*$D55/$E55</x:f>
        <x:v>0</x:v>
      </x:c>
      <x:c r="K55" s="40" t="n">
        <x:f>MAX(0,MIN($G55,20)-MAX($F55,16)+1)*$D55/$E55</x:f>
        <x:v>0</x:v>
      </x:c>
      <x:c r="L55" s="40" t="n">
        <x:f>MAX(0,MIN($G55,25)-MAX($F55,21)+1)*$D55/$E55</x:f>
        <x:v>0</x:v>
      </x:c>
      <x:c r="M55" s="40" t="n">
        <x:f>MAX(0,MIN($G55,30)-MAX($F55,26)+1)*$D55/$E55</x:f>
        <x:v>0</x:v>
      </x:c>
      <x:c r="N55" s="40" t="n">
        <x:f>MAX(0,MIN($G55,35)-MAX($F55,31)+1)*$D55/$E55</x:f>
        <x:v>2</x:v>
      </x:c>
      <x:c r="O55" s="40" t="n">
        <x:f>MAX(0,MIN($G55,40)-MAX($F55,36)+1)*$D55/$E55</x:f>
        <x:v>6</x:v>
      </x:c>
      <x:c r="P55" s="40" t="n">
        <x:f>MAX(0,MIN($G55,45)-MAX($F55,41)+1)*$D55/$E55</x:f>
        <x:v>0</x:v>
      </x:c>
      <x:c r="Q55" s="40" t="n">
        <x:f>MAX(0,MIN($G55,50)-MAX($F55,46)+1)*$D55/$E55</x:f>
        <x:v>0</x:v>
      </x:c>
      <x:c r="R55" s="40" t="n">
        <x:f>MAX(0,MIN($G55,55)-MAX($F55,51)+1)*$D55/$E55</x:f>
        <x:v>0</x:v>
      </x:c>
      <x:c r="S55" s="40" t="n">
        <x:f>MAX(0,MIN($G55,60)-MAX($F55,56)+1)*$D55/$E55</x:f>
        <x:v>0</x:v>
      </x:c>
      <x:c r="T55" s="40" t="n">
        <x:f>MAX(0,MIN($G55,65)-MAX($F55,61)+1)*$D55/$E55</x:f>
        <x:v>0</x:v>
      </x:c>
      <x:c r="U55" s="40" t="n">
        <x:f>MAX(0,MIN($G55,70)-MAX($F55,66)+1)*$D55/$E55</x:f>
        <x:v>0</x:v>
      </x:c>
      <x:c r="V55" s="40" t="n">
        <x:f>MAX(0,MIN($G55,75)-MAX($F55,71)+1)*$D55/$E55</x:f>
        <x:v>0</x:v>
      </x:c>
      <x:c r="W55" s="40" t="n">
        <x:f>MAX(0,MIN($G55,80)-MAX($F55,76)+1)*$D55/$E55</x:f>
        <x:v>0</x:v>
      </x:c>
      <x:c r="X55" s="40" t="n">
        <x:f>MAX(0,MIN($G55,85)-MAX($F55,81)+1)*$D55/$E55</x:f>
        <x:v>0</x:v>
      </x:c>
      <x:c r="Y55" s="40" t="n">
        <x:f>MAX(0,MIN($G55,90)-MAX($F55,86)+1)*$D55/$E55</x:f>
        <x:v>0</x:v>
      </x:c>
      <x:c r="Z55" s="40" t="n">
        <x:f>MAX(0,MIN($G55,95)-MAX($F55,91)+1)*$D55/$E55</x:f>
        <x:v>0</x:v>
      </x:c>
      <x:c r="AA55" s="40" t="n">
        <x:f>MAX(0,MIN($G55,100)-MAX($F55,96)+1)*$D55/$E55</x:f>
        <x:v>0</x:v>
      </x:c>
      <x:c r="AB55" s="40" t="n">
        <x:f>MAX(0,MIN($G55,105)-MAX($F55,101)+1)*$D55/$E55</x:f>
        <x:v>0</x:v>
      </x:c>
      <x:c r="AC55" s="40" t="n">
        <x:f>MAX(0,MIN($G55,110)-MAX($F55,106)+1)*$D55/$E55</x:f>
        <x:v>0</x:v>
      </x:c>
      <x:c r="AD55" s="40" t="n">
        <x:f>MAX(0,MIN($G55,115)-MAX($F55,111)+1)*$D55/$E55</x:f>
        <x:v>0</x:v>
      </x:c>
      <x:c r="AE55" s="40" t="n">
        <x:f>MAX(0,MIN($G55,120)-MAX($F55,116)+1)*$D55/$E55</x:f>
        <x:v>0</x:v>
      </x:c>
      <x:c r="AF55" s="40" t="n">
        <x:f>MAX(0,MIN($G55,125)-MAX($F55,121)+1)*$D55/$E55</x:f>
        <x:v>0</x:v>
      </x:c>
      <x:c r="AG55" s="40" t="n">
        <x:f>MAX(0,MIN($G55,130)-MAX($F55,126)+1)*$D55/$E55</x:f>
        <x:v>0</x:v>
      </x:c>
      <x:c r="AH55" s="40" t="n">
        <x:f>MAX(0,MIN($G55,135)-MAX($F55,131)+1)*$D55/$E55</x:f>
        <x:v>0</x:v>
      </x:c>
      <x:c r="AI55" s="40" t="n">
        <x:f>MAX(0,MIN($G55,140)-MAX($F55,136)+1)*$D55/$E55</x:f>
        <x:v>0</x:v>
      </x:c>
      <x:c r="AJ55" s="40" t="n">
        <x:f>MAX(0,MIN($G55,145)-MAX($F55,141)+1)*$D55/$E55</x:f>
        <x:v>0</x:v>
      </x:c>
      <x:c r="AK55" s="40" t="n">
        <x:f>MAX(0,MIN($G55,150)-MAX($F55,146)+1)*$D55/$E55</x:f>
        <x:v>0</x:v>
      </x:c>
      <x:c r="AL55" s="40" t="n">
        <x:f>MAX(0,MIN($G55,155)-MAX($F55,151)+1)*$D55/$E55</x:f>
        <x:v>0</x:v>
      </x:c>
      <x:c r="AM55" s="40" t="n">
        <x:f>MAX(0,MIN($G55,160)-MAX($F55,156)+1)*$D55/$E55</x:f>
        <x:v>0</x:v>
      </x:c>
      <x:c r="AN55" s="40" t="n">
        <x:f>MAX(0,MIN($G55,165)-MAX($F55,161)+1)*$D55/$E55</x:f>
        <x:v>0</x:v>
      </x:c>
      <x:c r="AO55" s="40" t="n">
        <x:f>MAX(0,MIN($G55,170)-MAX($F55,166)+1)*$D55/$E55</x:f>
        <x:v>0</x:v>
      </x:c>
      <x:c r="AP55" s="40" t="n">
        <x:f>MAX(0,MIN($G55,175)-MAX($F55,171)+1)*$D55/$E55</x:f>
        <x:v>0</x:v>
      </x:c>
      <x:c r="AQ55" s="40" t="n">
        <x:f>MAX(0,MIN($G55,180)-MAX($F55,176)+1)*$D55/$E55</x:f>
        <x:v>0</x:v>
      </x:c>
    </x:row>
    <x:row r="56" ht="27" customHeight="1">
      <x:c r="A56" s="10" t="str">
        <x:v>C11</x:v>
      </x:c>
      <x:c r="B56" s="10" t="str">
        <x:f>'Tasks'!D31</x:f>
        <x:v>AI</x:v>
      </x:c>
      <x:c r="C56" s="10" t="str">
        <x:v>Owner</x:v>
      </x:c>
      <x:c r="D56" s="39" t="n">
        <x:f>'Tasks'!O31</x:f>
        <x:v>16</x:v>
      </x:c>
      <x:c r="E56" s="39" t="n">
        <x:f>'Tasks'!F31</x:f>
        <x:v>3</x:v>
      </x:c>
      <x:c r="F56" s="39" t="n">
        <x:f>'Tasks'!K31</x:f>
        <x:v>30</x:v>
      </x:c>
      <x:c r="G56" s="39" t="n">
        <x:f>'Tasks'!L31</x:f>
        <x:v>32</x:v>
      </x:c>
      <x:c r="H56" s="39" t="n">
        <x:f>MAX(0,MIN($G56,5)-MAX($F56,1)+1)*$D56/$E56</x:f>
        <x:v>0</x:v>
      </x:c>
      <x:c r="I56" s="39" t="n">
        <x:f>MAX(0,MIN($G56,10)-MAX($F56,6)+1)*$D56/$E56</x:f>
        <x:v>0</x:v>
      </x:c>
      <x:c r="J56" s="39" t="n">
        <x:f>MAX(0,MIN($G56,15)-MAX($F56,11)+1)*$D56/$E56</x:f>
        <x:v>0</x:v>
      </x:c>
      <x:c r="K56" s="39" t="n">
        <x:f>MAX(0,MIN($G56,20)-MAX($F56,16)+1)*$D56/$E56</x:f>
        <x:v>0</x:v>
      </x:c>
      <x:c r="L56" s="39" t="n">
        <x:f>MAX(0,MIN($G56,25)-MAX($F56,21)+1)*$D56/$E56</x:f>
        <x:v>0</x:v>
      </x:c>
      <x:c r="M56" s="39" t="n">
        <x:f>MAX(0,MIN($G56,30)-MAX($F56,26)+1)*$D56/$E56</x:f>
        <x:v>5.333333333333333</x:v>
      </x:c>
      <x:c r="N56" s="39" t="n">
        <x:f>MAX(0,MIN($G56,35)-MAX($F56,31)+1)*$D56/$E56</x:f>
        <x:v>10.666666666666666</x:v>
      </x:c>
      <x:c r="O56" s="39" t="n">
        <x:f>MAX(0,MIN($G56,40)-MAX($F56,36)+1)*$D56/$E56</x:f>
        <x:v>0</x:v>
      </x:c>
      <x:c r="P56" s="39" t="n">
        <x:f>MAX(0,MIN($G56,45)-MAX($F56,41)+1)*$D56/$E56</x:f>
        <x:v>0</x:v>
      </x:c>
      <x:c r="Q56" s="39" t="n">
        <x:f>MAX(0,MIN($G56,50)-MAX($F56,46)+1)*$D56/$E56</x:f>
        <x:v>0</x:v>
      </x:c>
      <x:c r="R56" s="39" t="n">
        <x:f>MAX(0,MIN($G56,55)-MAX($F56,51)+1)*$D56/$E56</x:f>
        <x:v>0</x:v>
      </x:c>
      <x:c r="S56" s="39" t="n">
        <x:f>MAX(0,MIN($G56,60)-MAX($F56,56)+1)*$D56/$E56</x:f>
        <x:v>0</x:v>
      </x:c>
      <x:c r="T56" s="39" t="n">
        <x:f>MAX(0,MIN($G56,65)-MAX($F56,61)+1)*$D56/$E56</x:f>
        <x:v>0</x:v>
      </x:c>
      <x:c r="U56" s="39" t="n">
        <x:f>MAX(0,MIN($G56,70)-MAX($F56,66)+1)*$D56/$E56</x:f>
        <x:v>0</x:v>
      </x:c>
      <x:c r="V56" s="39" t="n">
        <x:f>MAX(0,MIN($G56,75)-MAX($F56,71)+1)*$D56/$E56</x:f>
        <x:v>0</x:v>
      </x:c>
      <x:c r="W56" s="39" t="n">
        <x:f>MAX(0,MIN($G56,80)-MAX($F56,76)+1)*$D56/$E56</x:f>
        <x:v>0</x:v>
      </x:c>
      <x:c r="X56" s="39" t="n">
        <x:f>MAX(0,MIN($G56,85)-MAX($F56,81)+1)*$D56/$E56</x:f>
        <x:v>0</x:v>
      </x:c>
      <x:c r="Y56" s="39" t="n">
        <x:f>MAX(0,MIN($G56,90)-MAX($F56,86)+1)*$D56/$E56</x:f>
        <x:v>0</x:v>
      </x:c>
      <x:c r="Z56" s="39" t="n">
        <x:f>MAX(0,MIN($G56,95)-MAX($F56,91)+1)*$D56/$E56</x:f>
        <x:v>0</x:v>
      </x:c>
      <x:c r="AA56" s="39" t="n">
        <x:f>MAX(0,MIN($G56,100)-MAX($F56,96)+1)*$D56/$E56</x:f>
        <x:v>0</x:v>
      </x:c>
      <x:c r="AB56" s="39" t="n">
        <x:f>MAX(0,MIN($G56,105)-MAX($F56,101)+1)*$D56/$E56</x:f>
        <x:v>0</x:v>
      </x:c>
      <x:c r="AC56" s="39" t="n">
        <x:f>MAX(0,MIN($G56,110)-MAX($F56,106)+1)*$D56/$E56</x:f>
        <x:v>0</x:v>
      </x:c>
      <x:c r="AD56" s="39" t="n">
        <x:f>MAX(0,MIN($G56,115)-MAX($F56,111)+1)*$D56/$E56</x:f>
        <x:v>0</x:v>
      </x:c>
      <x:c r="AE56" s="39" t="n">
        <x:f>MAX(0,MIN($G56,120)-MAX($F56,116)+1)*$D56/$E56</x:f>
        <x:v>0</x:v>
      </x:c>
      <x:c r="AF56" s="39" t="n">
        <x:f>MAX(0,MIN($G56,125)-MAX($F56,121)+1)*$D56/$E56</x:f>
        <x:v>0</x:v>
      </x:c>
      <x:c r="AG56" s="39" t="n">
        <x:f>MAX(0,MIN($G56,130)-MAX($F56,126)+1)*$D56/$E56</x:f>
        <x:v>0</x:v>
      </x:c>
      <x:c r="AH56" s="39" t="n">
        <x:f>MAX(0,MIN($G56,135)-MAX($F56,131)+1)*$D56/$E56</x:f>
        <x:v>0</x:v>
      </x:c>
      <x:c r="AI56" s="39" t="n">
        <x:f>MAX(0,MIN($G56,140)-MAX($F56,136)+1)*$D56/$E56</x:f>
        <x:v>0</x:v>
      </x:c>
      <x:c r="AJ56" s="39" t="n">
        <x:f>MAX(0,MIN($G56,145)-MAX($F56,141)+1)*$D56/$E56</x:f>
        <x:v>0</x:v>
      </x:c>
      <x:c r="AK56" s="39" t="n">
        <x:f>MAX(0,MIN($G56,150)-MAX($F56,146)+1)*$D56/$E56</x:f>
        <x:v>0</x:v>
      </x:c>
      <x:c r="AL56" s="39" t="n">
        <x:f>MAX(0,MIN($G56,155)-MAX($F56,151)+1)*$D56/$E56</x:f>
        <x:v>0</x:v>
      </x:c>
      <x:c r="AM56" s="39" t="n">
        <x:f>MAX(0,MIN($G56,160)-MAX($F56,156)+1)*$D56/$E56</x:f>
        <x:v>0</x:v>
      </x:c>
      <x:c r="AN56" s="39" t="n">
        <x:f>MAX(0,MIN($G56,165)-MAX($F56,161)+1)*$D56/$E56</x:f>
        <x:v>0</x:v>
      </x:c>
      <x:c r="AO56" s="39" t="n">
        <x:f>MAX(0,MIN($G56,170)-MAX($F56,166)+1)*$D56/$E56</x:f>
        <x:v>0</x:v>
      </x:c>
      <x:c r="AP56" s="39" t="n">
        <x:f>MAX(0,MIN($G56,175)-MAX($F56,171)+1)*$D56/$E56</x:f>
        <x:v>0</x:v>
      </x:c>
      <x:c r="AQ56" s="39" t="n">
        <x:f>MAX(0,MIN($G56,180)-MAX($F56,176)+1)*$D56/$E56</x:f>
        <x:v>0</x:v>
      </x:c>
    </x:row>
    <x:row r="57" ht="27" customHeight="1">
      <x:c r="A57" s="9" t="str">
        <x:v>C11</x:v>
      </x:c>
      <x:c r="B57" s="9" t="str">
        <x:f>'Tasks'!P31</x:f>
        <x:v>KE</x:v>
      </x:c>
      <x:c r="C57" s="9" t="str">
        <x:v>Review</x:v>
      </x:c>
      <x:c r="D57" s="40" t="n">
        <x:f>'Tasks'!Q31</x:f>
        <x:v>6</x:v>
      </x:c>
      <x:c r="E57" s="40" t="n">
        <x:f>'Tasks'!F31</x:f>
        <x:v>3</x:v>
      </x:c>
      <x:c r="F57" s="40" t="n">
        <x:f>'Tasks'!K31</x:f>
        <x:v>30</x:v>
      </x:c>
      <x:c r="G57" s="40" t="n">
        <x:f>'Tasks'!L31</x:f>
        <x:v>32</x:v>
      </x:c>
      <x:c r="H57" s="40" t="n">
        <x:f>MAX(0,MIN($G57,5)-MAX($F57,1)+1)*$D57/$E57</x:f>
        <x:v>0</x:v>
      </x:c>
      <x:c r="I57" s="40" t="n">
        <x:f>MAX(0,MIN($G57,10)-MAX($F57,6)+1)*$D57/$E57</x:f>
        <x:v>0</x:v>
      </x:c>
      <x:c r="J57" s="40" t="n">
        <x:f>MAX(0,MIN($G57,15)-MAX($F57,11)+1)*$D57/$E57</x:f>
        <x:v>0</x:v>
      </x:c>
      <x:c r="K57" s="40" t="n">
        <x:f>MAX(0,MIN($G57,20)-MAX($F57,16)+1)*$D57/$E57</x:f>
        <x:v>0</x:v>
      </x:c>
      <x:c r="L57" s="40" t="n">
        <x:f>MAX(0,MIN($G57,25)-MAX($F57,21)+1)*$D57/$E57</x:f>
        <x:v>0</x:v>
      </x:c>
      <x:c r="M57" s="40" t="n">
        <x:f>MAX(0,MIN($G57,30)-MAX($F57,26)+1)*$D57/$E57</x:f>
        <x:v>2</x:v>
      </x:c>
      <x:c r="N57" s="40" t="n">
        <x:f>MAX(0,MIN($G57,35)-MAX($F57,31)+1)*$D57/$E57</x:f>
        <x:v>4</x:v>
      </x:c>
      <x:c r="O57" s="40" t="n">
        <x:f>MAX(0,MIN($G57,40)-MAX($F57,36)+1)*$D57/$E57</x:f>
        <x:v>0</x:v>
      </x:c>
      <x:c r="P57" s="40" t="n">
        <x:f>MAX(0,MIN($G57,45)-MAX($F57,41)+1)*$D57/$E57</x:f>
        <x:v>0</x:v>
      </x:c>
      <x:c r="Q57" s="40" t="n">
        <x:f>MAX(0,MIN($G57,50)-MAX($F57,46)+1)*$D57/$E57</x:f>
        <x:v>0</x:v>
      </x:c>
      <x:c r="R57" s="40" t="n">
        <x:f>MAX(0,MIN($G57,55)-MAX($F57,51)+1)*$D57/$E57</x:f>
        <x:v>0</x:v>
      </x:c>
      <x:c r="S57" s="40" t="n">
        <x:f>MAX(0,MIN($G57,60)-MAX($F57,56)+1)*$D57/$E57</x:f>
        <x:v>0</x:v>
      </x:c>
      <x:c r="T57" s="40" t="n">
        <x:f>MAX(0,MIN($G57,65)-MAX($F57,61)+1)*$D57/$E57</x:f>
        <x:v>0</x:v>
      </x:c>
      <x:c r="U57" s="40" t="n">
        <x:f>MAX(0,MIN($G57,70)-MAX($F57,66)+1)*$D57/$E57</x:f>
        <x:v>0</x:v>
      </x:c>
      <x:c r="V57" s="40" t="n">
        <x:f>MAX(0,MIN($G57,75)-MAX($F57,71)+1)*$D57/$E57</x:f>
        <x:v>0</x:v>
      </x:c>
      <x:c r="W57" s="40" t="n">
        <x:f>MAX(0,MIN($G57,80)-MAX($F57,76)+1)*$D57/$E57</x:f>
        <x:v>0</x:v>
      </x:c>
      <x:c r="X57" s="40" t="n">
        <x:f>MAX(0,MIN($G57,85)-MAX($F57,81)+1)*$D57/$E57</x:f>
        <x:v>0</x:v>
      </x:c>
      <x:c r="Y57" s="40" t="n">
        <x:f>MAX(0,MIN($G57,90)-MAX($F57,86)+1)*$D57/$E57</x:f>
        <x:v>0</x:v>
      </x:c>
      <x:c r="Z57" s="40" t="n">
        <x:f>MAX(0,MIN($G57,95)-MAX($F57,91)+1)*$D57/$E57</x:f>
        <x:v>0</x:v>
      </x:c>
      <x:c r="AA57" s="40" t="n">
        <x:f>MAX(0,MIN($G57,100)-MAX($F57,96)+1)*$D57/$E57</x:f>
        <x:v>0</x:v>
      </x:c>
      <x:c r="AB57" s="40" t="n">
        <x:f>MAX(0,MIN($G57,105)-MAX($F57,101)+1)*$D57/$E57</x:f>
        <x:v>0</x:v>
      </x:c>
      <x:c r="AC57" s="40" t="n">
        <x:f>MAX(0,MIN($G57,110)-MAX($F57,106)+1)*$D57/$E57</x:f>
        <x:v>0</x:v>
      </x:c>
      <x:c r="AD57" s="40" t="n">
        <x:f>MAX(0,MIN($G57,115)-MAX($F57,111)+1)*$D57/$E57</x:f>
        <x:v>0</x:v>
      </x:c>
      <x:c r="AE57" s="40" t="n">
        <x:f>MAX(0,MIN($G57,120)-MAX($F57,116)+1)*$D57/$E57</x:f>
        <x:v>0</x:v>
      </x:c>
      <x:c r="AF57" s="40" t="n">
        <x:f>MAX(0,MIN($G57,125)-MAX($F57,121)+1)*$D57/$E57</x:f>
        <x:v>0</x:v>
      </x:c>
      <x:c r="AG57" s="40" t="n">
        <x:f>MAX(0,MIN($G57,130)-MAX($F57,126)+1)*$D57/$E57</x:f>
        <x:v>0</x:v>
      </x:c>
      <x:c r="AH57" s="40" t="n">
        <x:f>MAX(0,MIN($G57,135)-MAX($F57,131)+1)*$D57/$E57</x:f>
        <x:v>0</x:v>
      </x:c>
      <x:c r="AI57" s="40" t="n">
        <x:f>MAX(0,MIN($G57,140)-MAX($F57,136)+1)*$D57/$E57</x:f>
        <x:v>0</x:v>
      </x:c>
      <x:c r="AJ57" s="40" t="n">
        <x:f>MAX(0,MIN($G57,145)-MAX($F57,141)+1)*$D57/$E57</x:f>
        <x:v>0</x:v>
      </x:c>
      <x:c r="AK57" s="40" t="n">
        <x:f>MAX(0,MIN($G57,150)-MAX($F57,146)+1)*$D57/$E57</x:f>
        <x:v>0</x:v>
      </x:c>
      <x:c r="AL57" s="40" t="n">
        <x:f>MAX(0,MIN($G57,155)-MAX($F57,151)+1)*$D57/$E57</x:f>
        <x:v>0</x:v>
      </x:c>
      <x:c r="AM57" s="40" t="n">
        <x:f>MAX(0,MIN($G57,160)-MAX($F57,156)+1)*$D57/$E57</x:f>
        <x:v>0</x:v>
      </x:c>
      <x:c r="AN57" s="40" t="n">
        <x:f>MAX(0,MIN($G57,165)-MAX($F57,161)+1)*$D57/$E57</x:f>
        <x:v>0</x:v>
      </x:c>
      <x:c r="AO57" s="40" t="n">
        <x:f>MAX(0,MIN($G57,170)-MAX($F57,166)+1)*$D57/$E57</x:f>
        <x:v>0</x:v>
      </x:c>
      <x:c r="AP57" s="40" t="n">
        <x:f>MAX(0,MIN($G57,175)-MAX($F57,171)+1)*$D57/$E57</x:f>
        <x:v>0</x:v>
      </x:c>
      <x:c r="AQ57" s="40" t="n">
        <x:f>MAX(0,MIN($G57,180)-MAX($F57,176)+1)*$D57/$E57</x:f>
        <x:v>0</x:v>
      </x:c>
    </x:row>
    <x:row r="58" ht="27" customHeight="1">
      <x:c r="A58" s="10" t="str">
        <x:v>C12</x:v>
      </x:c>
      <x:c r="B58" s="10" t="str">
        <x:f>'Tasks'!D32</x:f>
        <x:v>OPS</x:v>
      </x:c>
      <x:c r="C58" s="10" t="str">
        <x:v>Owner</x:v>
      </x:c>
      <x:c r="D58" s="39" t="n">
        <x:f>'Tasks'!O32</x:f>
        <x:v>10</x:v>
      </x:c>
      <x:c r="E58" s="39" t="n">
        <x:f>'Tasks'!F32</x:f>
        <x:v>2</x:v>
      </x:c>
      <x:c r="F58" s="39" t="n">
        <x:f>'Tasks'!K32</x:f>
        <x:v>39</x:v>
      </x:c>
      <x:c r="G58" s="39" t="n">
        <x:f>'Tasks'!L32</x:f>
        <x:v>40</x:v>
      </x:c>
      <x:c r="H58" s="39" t="n">
        <x:f>MAX(0,MIN($G58,5)-MAX($F58,1)+1)*$D58/$E58</x:f>
        <x:v>0</x:v>
      </x:c>
      <x:c r="I58" s="39" t="n">
        <x:f>MAX(0,MIN($G58,10)-MAX($F58,6)+1)*$D58/$E58</x:f>
        <x:v>0</x:v>
      </x:c>
      <x:c r="J58" s="39" t="n">
        <x:f>MAX(0,MIN($G58,15)-MAX($F58,11)+1)*$D58/$E58</x:f>
        <x:v>0</x:v>
      </x:c>
      <x:c r="K58" s="39" t="n">
        <x:f>MAX(0,MIN($G58,20)-MAX($F58,16)+1)*$D58/$E58</x:f>
        <x:v>0</x:v>
      </x:c>
      <x:c r="L58" s="39" t="n">
        <x:f>MAX(0,MIN($G58,25)-MAX($F58,21)+1)*$D58/$E58</x:f>
        <x:v>0</x:v>
      </x:c>
      <x:c r="M58" s="39" t="n">
        <x:f>MAX(0,MIN($G58,30)-MAX($F58,26)+1)*$D58/$E58</x:f>
        <x:v>0</x:v>
      </x:c>
      <x:c r="N58" s="39" t="n">
        <x:f>MAX(0,MIN($G58,35)-MAX($F58,31)+1)*$D58/$E58</x:f>
        <x:v>0</x:v>
      </x:c>
      <x:c r="O58" s="39" t="n">
        <x:f>MAX(0,MIN($G58,40)-MAX($F58,36)+1)*$D58/$E58</x:f>
        <x:v>10</x:v>
      </x:c>
      <x:c r="P58" s="39" t="n">
        <x:f>MAX(0,MIN($G58,45)-MAX($F58,41)+1)*$D58/$E58</x:f>
        <x:v>0</x:v>
      </x:c>
      <x:c r="Q58" s="39" t="n">
        <x:f>MAX(0,MIN($G58,50)-MAX($F58,46)+1)*$D58/$E58</x:f>
        <x:v>0</x:v>
      </x:c>
      <x:c r="R58" s="39" t="n">
        <x:f>MAX(0,MIN($G58,55)-MAX($F58,51)+1)*$D58/$E58</x:f>
        <x:v>0</x:v>
      </x:c>
      <x:c r="S58" s="39" t="n">
        <x:f>MAX(0,MIN($G58,60)-MAX($F58,56)+1)*$D58/$E58</x:f>
        <x:v>0</x:v>
      </x:c>
      <x:c r="T58" s="39" t="n">
        <x:f>MAX(0,MIN($G58,65)-MAX($F58,61)+1)*$D58/$E58</x:f>
        <x:v>0</x:v>
      </x:c>
      <x:c r="U58" s="39" t="n">
        <x:f>MAX(0,MIN($G58,70)-MAX($F58,66)+1)*$D58/$E58</x:f>
        <x:v>0</x:v>
      </x:c>
      <x:c r="V58" s="39" t="n">
        <x:f>MAX(0,MIN($G58,75)-MAX($F58,71)+1)*$D58/$E58</x:f>
        <x:v>0</x:v>
      </x:c>
      <x:c r="W58" s="39" t="n">
        <x:f>MAX(0,MIN($G58,80)-MAX($F58,76)+1)*$D58/$E58</x:f>
        <x:v>0</x:v>
      </x:c>
      <x:c r="X58" s="39" t="n">
        <x:f>MAX(0,MIN($G58,85)-MAX($F58,81)+1)*$D58/$E58</x:f>
        <x:v>0</x:v>
      </x:c>
      <x:c r="Y58" s="39" t="n">
        <x:f>MAX(0,MIN($G58,90)-MAX($F58,86)+1)*$D58/$E58</x:f>
        <x:v>0</x:v>
      </x:c>
      <x:c r="Z58" s="39" t="n">
        <x:f>MAX(0,MIN($G58,95)-MAX($F58,91)+1)*$D58/$E58</x:f>
        <x:v>0</x:v>
      </x:c>
      <x:c r="AA58" s="39" t="n">
        <x:f>MAX(0,MIN($G58,100)-MAX($F58,96)+1)*$D58/$E58</x:f>
        <x:v>0</x:v>
      </x:c>
      <x:c r="AB58" s="39" t="n">
        <x:f>MAX(0,MIN($G58,105)-MAX($F58,101)+1)*$D58/$E58</x:f>
        <x:v>0</x:v>
      </x:c>
      <x:c r="AC58" s="39" t="n">
        <x:f>MAX(0,MIN($G58,110)-MAX($F58,106)+1)*$D58/$E58</x:f>
        <x:v>0</x:v>
      </x:c>
      <x:c r="AD58" s="39" t="n">
        <x:f>MAX(0,MIN($G58,115)-MAX($F58,111)+1)*$D58/$E58</x:f>
        <x:v>0</x:v>
      </x:c>
      <x:c r="AE58" s="39" t="n">
        <x:f>MAX(0,MIN($G58,120)-MAX($F58,116)+1)*$D58/$E58</x:f>
        <x:v>0</x:v>
      </x:c>
      <x:c r="AF58" s="39" t="n">
        <x:f>MAX(0,MIN($G58,125)-MAX($F58,121)+1)*$D58/$E58</x:f>
        <x:v>0</x:v>
      </x:c>
      <x:c r="AG58" s="39" t="n">
        <x:f>MAX(0,MIN($G58,130)-MAX($F58,126)+1)*$D58/$E58</x:f>
        <x:v>0</x:v>
      </x:c>
      <x:c r="AH58" s="39" t="n">
        <x:f>MAX(0,MIN($G58,135)-MAX($F58,131)+1)*$D58/$E58</x:f>
        <x:v>0</x:v>
      </x:c>
      <x:c r="AI58" s="39" t="n">
        <x:f>MAX(0,MIN($G58,140)-MAX($F58,136)+1)*$D58/$E58</x:f>
        <x:v>0</x:v>
      </x:c>
      <x:c r="AJ58" s="39" t="n">
        <x:f>MAX(0,MIN($G58,145)-MAX($F58,141)+1)*$D58/$E58</x:f>
        <x:v>0</x:v>
      </x:c>
      <x:c r="AK58" s="39" t="n">
        <x:f>MAX(0,MIN($G58,150)-MAX($F58,146)+1)*$D58/$E58</x:f>
        <x:v>0</x:v>
      </x:c>
      <x:c r="AL58" s="39" t="n">
        <x:f>MAX(0,MIN($G58,155)-MAX($F58,151)+1)*$D58/$E58</x:f>
        <x:v>0</x:v>
      </x:c>
      <x:c r="AM58" s="39" t="n">
        <x:f>MAX(0,MIN($G58,160)-MAX($F58,156)+1)*$D58/$E58</x:f>
        <x:v>0</x:v>
      </x:c>
      <x:c r="AN58" s="39" t="n">
        <x:f>MAX(0,MIN($G58,165)-MAX($F58,161)+1)*$D58/$E58</x:f>
        <x:v>0</x:v>
      </x:c>
      <x:c r="AO58" s="39" t="n">
        <x:f>MAX(0,MIN($G58,170)-MAX($F58,166)+1)*$D58/$E58</x:f>
        <x:v>0</x:v>
      </x:c>
      <x:c r="AP58" s="39" t="n">
        <x:f>MAX(0,MIN($G58,175)-MAX($F58,171)+1)*$D58/$E58</x:f>
        <x:v>0</x:v>
      </x:c>
      <x:c r="AQ58" s="39" t="n">
        <x:f>MAX(0,MIN($G58,180)-MAX($F58,176)+1)*$D58/$E58</x:f>
        <x:v>0</x:v>
      </x:c>
    </x:row>
    <x:row r="59" ht="27" customHeight="1">
      <x:c r="A59" s="9" t="str">
        <x:v>C12</x:v>
      </x:c>
      <x:c r="B59" s="9" t="str">
        <x:f>'Tasks'!P32</x:f>
        <x:v>AI</x:v>
      </x:c>
      <x:c r="C59" s="9" t="str">
        <x:v>Review</x:v>
      </x:c>
      <x:c r="D59" s="40" t="n">
        <x:f>'Tasks'!Q32</x:f>
        <x:v>3</x:v>
      </x:c>
      <x:c r="E59" s="40" t="n">
        <x:f>'Tasks'!F32</x:f>
        <x:v>2</x:v>
      </x:c>
      <x:c r="F59" s="40" t="n">
        <x:f>'Tasks'!K32</x:f>
        <x:v>39</x:v>
      </x:c>
      <x:c r="G59" s="40" t="n">
        <x:f>'Tasks'!L32</x:f>
        <x:v>40</x:v>
      </x:c>
      <x:c r="H59" s="40" t="n">
        <x:f>MAX(0,MIN($G59,5)-MAX($F59,1)+1)*$D59/$E59</x:f>
        <x:v>0</x:v>
      </x:c>
      <x:c r="I59" s="40" t="n">
        <x:f>MAX(0,MIN($G59,10)-MAX($F59,6)+1)*$D59/$E59</x:f>
        <x:v>0</x:v>
      </x:c>
      <x:c r="J59" s="40" t="n">
        <x:f>MAX(0,MIN($G59,15)-MAX($F59,11)+1)*$D59/$E59</x:f>
        <x:v>0</x:v>
      </x:c>
      <x:c r="K59" s="40" t="n">
        <x:f>MAX(0,MIN($G59,20)-MAX($F59,16)+1)*$D59/$E59</x:f>
        <x:v>0</x:v>
      </x:c>
      <x:c r="L59" s="40" t="n">
        <x:f>MAX(0,MIN($G59,25)-MAX($F59,21)+1)*$D59/$E59</x:f>
        <x:v>0</x:v>
      </x:c>
      <x:c r="M59" s="40" t="n">
        <x:f>MAX(0,MIN($G59,30)-MAX($F59,26)+1)*$D59/$E59</x:f>
        <x:v>0</x:v>
      </x:c>
      <x:c r="N59" s="40" t="n">
        <x:f>MAX(0,MIN($G59,35)-MAX($F59,31)+1)*$D59/$E59</x:f>
        <x:v>0</x:v>
      </x:c>
      <x:c r="O59" s="40" t="n">
        <x:f>MAX(0,MIN($G59,40)-MAX($F59,36)+1)*$D59/$E59</x:f>
        <x:v>3</x:v>
      </x:c>
      <x:c r="P59" s="40" t="n">
        <x:f>MAX(0,MIN($G59,45)-MAX($F59,41)+1)*$D59/$E59</x:f>
        <x:v>0</x:v>
      </x:c>
      <x:c r="Q59" s="40" t="n">
        <x:f>MAX(0,MIN($G59,50)-MAX($F59,46)+1)*$D59/$E59</x:f>
        <x:v>0</x:v>
      </x:c>
      <x:c r="R59" s="40" t="n">
        <x:f>MAX(0,MIN($G59,55)-MAX($F59,51)+1)*$D59/$E59</x:f>
        <x:v>0</x:v>
      </x:c>
      <x:c r="S59" s="40" t="n">
        <x:f>MAX(0,MIN($G59,60)-MAX($F59,56)+1)*$D59/$E59</x:f>
        <x:v>0</x:v>
      </x:c>
      <x:c r="T59" s="40" t="n">
        <x:f>MAX(0,MIN($G59,65)-MAX($F59,61)+1)*$D59/$E59</x:f>
        <x:v>0</x:v>
      </x:c>
      <x:c r="U59" s="40" t="n">
        <x:f>MAX(0,MIN($G59,70)-MAX($F59,66)+1)*$D59/$E59</x:f>
        <x:v>0</x:v>
      </x:c>
      <x:c r="V59" s="40" t="n">
        <x:f>MAX(0,MIN($G59,75)-MAX($F59,71)+1)*$D59/$E59</x:f>
        <x:v>0</x:v>
      </x:c>
      <x:c r="W59" s="40" t="n">
        <x:f>MAX(0,MIN($G59,80)-MAX($F59,76)+1)*$D59/$E59</x:f>
        <x:v>0</x:v>
      </x:c>
      <x:c r="X59" s="40" t="n">
        <x:f>MAX(0,MIN($G59,85)-MAX($F59,81)+1)*$D59/$E59</x:f>
        <x:v>0</x:v>
      </x:c>
      <x:c r="Y59" s="40" t="n">
        <x:f>MAX(0,MIN($G59,90)-MAX($F59,86)+1)*$D59/$E59</x:f>
        <x:v>0</x:v>
      </x:c>
      <x:c r="Z59" s="40" t="n">
        <x:f>MAX(0,MIN($G59,95)-MAX($F59,91)+1)*$D59/$E59</x:f>
        <x:v>0</x:v>
      </x:c>
      <x:c r="AA59" s="40" t="n">
        <x:f>MAX(0,MIN($G59,100)-MAX($F59,96)+1)*$D59/$E59</x:f>
        <x:v>0</x:v>
      </x:c>
      <x:c r="AB59" s="40" t="n">
        <x:f>MAX(0,MIN($G59,105)-MAX($F59,101)+1)*$D59/$E59</x:f>
        <x:v>0</x:v>
      </x:c>
      <x:c r="AC59" s="40" t="n">
        <x:f>MAX(0,MIN($G59,110)-MAX($F59,106)+1)*$D59/$E59</x:f>
        <x:v>0</x:v>
      </x:c>
      <x:c r="AD59" s="40" t="n">
        <x:f>MAX(0,MIN($G59,115)-MAX($F59,111)+1)*$D59/$E59</x:f>
        <x:v>0</x:v>
      </x:c>
      <x:c r="AE59" s="40" t="n">
        <x:f>MAX(0,MIN($G59,120)-MAX($F59,116)+1)*$D59/$E59</x:f>
        <x:v>0</x:v>
      </x:c>
      <x:c r="AF59" s="40" t="n">
        <x:f>MAX(0,MIN($G59,125)-MAX($F59,121)+1)*$D59/$E59</x:f>
        <x:v>0</x:v>
      </x:c>
      <x:c r="AG59" s="40" t="n">
        <x:f>MAX(0,MIN($G59,130)-MAX($F59,126)+1)*$D59/$E59</x:f>
        <x:v>0</x:v>
      </x:c>
      <x:c r="AH59" s="40" t="n">
        <x:f>MAX(0,MIN($G59,135)-MAX($F59,131)+1)*$D59/$E59</x:f>
        <x:v>0</x:v>
      </x:c>
      <x:c r="AI59" s="40" t="n">
        <x:f>MAX(0,MIN($G59,140)-MAX($F59,136)+1)*$D59/$E59</x:f>
        <x:v>0</x:v>
      </x:c>
      <x:c r="AJ59" s="40" t="n">
        <x:f>MAX(0,MIN($G59,145)-MAX($F59,141)+1)*$D59/$E59</x:f>
        <x:v>0</x:v>
      </x:c>
      <x:c r="AK59" s="40" t="n">
        <x:f>MAX(0,MIN($G59,150)-MAX($F59,146)+1)*$D59/$E59</x:f>
        <x:v>0</x:v>
      </x:c>
      <x:c r="AL59" s="40" t="n">
        <x:f>MAX(0,MIN($G59,155)-MAX($F59,151)+1)*$D59/$E59</x:f>
        <x:v>0</x:v>
      </x:c>
      <x:c r="AM59" s="40" t="n">
        <x:f>MAX(0,MIN($G59,160)-MAX($F59,156)+1)*$D59/$E59</x:f>
        <x:v>0</x:v>
      </x:c>
      <x:c r="AN59" s="40" t="n">
        <x:f>MAX(0,MIN($G59,165)-MAX($F59,161)+1)*$D59/$E59</x:f>
        <x:v>0</x:v>
      </x:c>
      <x:c r="AO59" s="40" t="n">
        <x:f>MAX(0,MIN($G59,170)-MAX($F59,166)+1)*$D59/$E59</x:f>
        <x:v>0</x:v>
      </x:c>
      <x:c r="AP59" s="40" t="n">
        <x:f>MAX(0,MIN($G59,175)-MAX($F59,171)+1)*$D59/$E59</x:f>
        <x:v>0</x:v>
      </x:c>
      <x:c r="AQ59" s="40" t="n">
        <x:f>MAX(0,MIN($G59,180)-MAX($F59,176)+1)*$D59/$E59</x:f>
        <x:v>0</x:v>
      </x:c>
    </x:row>
    <x:row r="60" ht="27" customHeight="1">
      <x:c r="A60" s="10" t="str">
        <x:v>D01</x:v>
      </x:c>
      <x:c r="B60" s="10" t="str">
        <x:f>'Tasks'!D33</x:f>
        <x:v>KE</x:v>
      </x:c>
      <x:c r="C60" s="10" t="str">
        <x:v>Owner</x:v>
      </x:c>
      <x:c r="D60" s="39" t="n">
        <x:f>'Tasks'!O33</x:f>
        <x:v>32</x:v>
      </x:c>
      <x:c r="E60" s="39" t="n">
        <x:f>'Tasks'!F33</x:f>
        <x:v>6</x:v>
      </x:c>
      <x:c r="F60" s="39" t="n">
        <x:f>'Tasks'!K33</x:f>
        <x:v>17</x:v>
      </x:c>
      <x:c r="G60" s="39" t="n">
        <x:f>'Tasks'!L33</x:f>
        <x:v>22</x:v>
      </x:c>
      <x:c r="H60" s="39" t="n">
        <x:f>MAX(0,MIN($G60,5)-MAX($F60,1)+1)*$D60/$E60</x:f>
        <x:v>0</x:v>
      </x:c>
      <x:c r="I60" s="39" t="n">
        <x:f>MAX(0,MIN($G60,10)-MAX($F60,6)+1)*$D60/$E60</x:f>
        <x:v>0</x:v>
      </x:c>
      <x:c r="J60" s="39" t="n">
        <x:f>MAX(0,MIN($G60,15)-MAX($F60,11)+1)*$D60/$E60</x:f>
        <x:v>0</x:v>
      </x:c>
      <x:c r="K60" s="39" t="n">
        <x:f>MAX(0,MIN($G60,20)-MAX($F60,16)+1)*$D60/$E60</x:f>
        <x:v>21.333333333333332</x:v>
      </x:c>
      <x:c r="L60" s="39" t="n">
        <x:f>MAX(0,MIN($G60,25)-MAX($F60,21)+1)*$D60/$E60</x:f>
        <x:v>10.666666666666666</x:v>
      </x:c>
      <x:c r="M60" s="39" t="n">
        <x:f>MAX(0,MIN($G60,30)-MAX($F60,26)+1)*$D60/$E60</x:f>
        <x:v>0</x:v>
      </x:c>
      <x:c r="N60" s="39" t="n">
        <x:f>MAX(0,MIN($G60,35)-MAX($F60,31)+1)*$D60/$E60</x:f>
        <x:v>0</x:v>
      </x:c>
      <x:c r="O60" s="39" t="n">
        <x:f>MAX(0,MIN($G60,40)-MAX($F60,36)+1)*$D60/$E60</x:f>
        <x:v>0</x:v>
      </x:c>
      <x:c r="P60" s="39" t="n">
        <x:f>MAX(0,MIN($G60,45)-MAX($F60,41)+1)*$D60/$E60</x:f>
        <x:v>0</x:v>
      </x:c>
      <x:c r="Q60" s="39" t="n">
        <x:f>MAX(0,MIN($G60,50)-MAX($F60,46)+1)*$D60/$E60</x:f>
        <x:v>0</x:v>
      </x:c>
      <x:c r="R60" s="39" t="n">
        <x:f>MAX(0,MIN($G60,55)-MAX($F60,51)+1)*$D60/$E60</x:f>
        <x:v>0</x:v>
      </x:c>
      <x:c r="S60" s="39" t="n">
        <x:f>MAX(0,MIN($G60,60)-MAX($F60,56)+1)*$D60/$E60</x:f>
        <x:v>0</x:v>
      </x:c>
      <x:c r="T60" s="39" t="n">
        <x:f>MAX(0,MIN($G60,65)-MAX($F60,61)+1)*$D60/$E60</x:f>
        <x:v>0</x:v>
      </x:c>
      <x:c r="U60" s="39" t="n">
        <x:f>MAX(0,MIN($G60,70)-MAX($F60,66)+1)*$D60/$E60</x:f>
        <x:v>0</x:v>
      </x:c>
      <x:c r="V60" s="39" t="n">
        <x:f>MAX(0,MIN($G60,75)-MAX($F60,71)+1)*$D60/$E60</x:f>
        <x:v>0</x:v>
      </x:c>
      <x:c r="W60" s="39" t="n">
        <x:f>MAX(0,MIN($G60,80)-MAX($F60,76)+1)*$D60/$E60</x:f>
        <x:v>0</x:v>
      </x:c>
      <x:c r="X60" s="39" t="n">
        <x:f>MAX(0,MIN($G60,85)-MAX($F60,81)+1)*$D60/$E60</x:f>
        <x:v>0</x:v>
      </x:c>
      <x:c r="Y60" s="39" t="n">
        <x:f>MAX(0,MIN($G60,90)-MAX($F60,86)+1)*$D60/$E60</x:f>
        <x:v>0</x:v>
      </x:c>
      <x:c r="Z60" s="39" t="n">
        <x:f>MAX(0,MIN($G60,95)-MAX($F60,91)+1)*$D60/$E60</x:f>
        <x:v>0</x:v>
      </x:c>
      <x:c r="AA60" s="39" t="n">
        <x:f>MAX(0,MIN($G60,100)-MAX($F60,96)+1)*$D60/$E60</x:f>
        <x:v>0</x:v>
      </x:c>
      <x:c r="AB60" s="39" t="n">
        <x:f>MAX(0,MIN($G60,105)-MAX($F60,101)+1)*$D60/$E60</x:f>
        <x:v>0</x:v>
      </x:c>
      <x:c r="AC60" s="39" t="n">
        <x:f>MAX(0,MIN($G60,110)-MAX($F60,106)+1)*$D60/$E60</x:f>
        <x:v>0</x:v>
      </x:c>
      <x:c r="AD60" s="39" t="n">
        <x:f>MAX(0,MIN($G60,115)-MAX($F60,111)+1)*$D60/$E60</x:f>
        <x:v>0</x:v>
      </x:c>
      <x:c r="AE60" s="39" t="n">
        <x:f>MAX(0,MIN($G60,120)-MAX($F60,116)+1)*$D60/$E60</x:f>
        <x:v>0</x:v>
      </x:c>
      <x:c r="AF60" s="39" t="n">
        <x:f>MAX(0,MIN($G60,125)-MAX($F60,121)+1)*$D60/$E60</x:f>
        <x:v>0</x:v>
      </x:c>
      <x:c r="AG60" s="39" t="n">
        <x:f>MAX(0,MIN($G60,130)-MAX($F60,126)+1)*$D60/$E60</x:f>
        <x:v>0</x:v>
      </x:c>
      <x:c r="AH60" s="39" t="n">
        <x:f>MAX(0,MIN($G60,135)-MAX($F60,131)+1)*$D60/$E60</x:f>
        <x:v>0</x:v>
      </x:c>
      <x:c r="AI60" s="39" t="n">
        <x:f>MAX(0,MIN($G60,140)-MAX($F60,136)+1)*$D60/$E60</x:f>
        <x:v>0</x:v>
      </x:c>
      <x:c r="AJ60" s="39" t="n">
        <x:f>MAX(0,MIN($G60,145)-MAX($F60,141)+1)*$D60/$E60</x:f>
        <x:v>0</x:v>
      </x:c>
      <x:c r="AK60" s="39" t="n">
        <x:f>MAX(0,MIN($G60,150)-MAX($F60,146)+1)*$D60/$E60</x:f>
        <x:v>0</x:v>
      </x:c>
      <x:c r="AL60" s="39" t="n">
        <x:f>MAX(0,MIN($G60,155)-MAX($F60,151)+1)*$D60/$E60</x:f>
        <x:v>0</x:v>
      </x:c>
      <x:c r="AM60" s="39" t="n">
        <x:f>MAX(0,MIN($G60,160)-MAX($F60,156)+1)*$D60/$E60</x:f>
        <x:v>0</x:v>
      </x:c>
      <x:c r="AN60" s="39" t="n">
        <x:f>MAX(0,MIN($G60,165)-MAX($F60,161)+1)*$D60/$E60</x:f>
        <x:v>0</x:v>
      </x:c>
      <x:c r="AO60" s="39" t="n">
        <x:f>MAX(0,MIN($G60,170)-MAX($F60,166)+1)*$D60/$E60</x:f>
        <x:v>0</x:v>
      </x:c>
      <x:c r="AP60" s="39" t="n">
        <x:f>MAX(0,MIN($G60,175)-MAX($F60,171)+1)*$D60/$E60</x:f>
        <x:v>0</x:v>
      </x:c>
      <x:c r="AQ60" s="39" t="n">
        <x:f>MAX(0,MIN($G60,180)-MAX($F60,176)+1)*$D60/$E60</x:f>
        <x:v>0</x:v>
      </x:c>
    </x:row>
    <x:row r="61" ht="27" customHeight="1">
      <x:c r="A61" s="9" t="str">
        <x:v>D01</x:v>
      </x:c>
      <x:c r="B61" s="9" t="str">
        <x:f>'Tasks'!P33</x:f>
        <x:v>EXP</x:v>
      </x:c>
      <x:c r="C61" s="9" t="str">
        <x:v>Review</x:v>
      </x:c>
      <x:c r="D61" s="40" t="n">
        <x:f>'Tasks'!Q33</x:f>
        <x:v>24</x:v>
      </x:c>
      <x:c r="E61" s="40" t="n">
        <x:f>'Tasks'!F33</x:f>
        <x:v>6</x:v>
      </x:c>
      <x:c r="F61" s="40" t="n">
        <x:f>'Tasks'!K33</x:f>
        <x:v>17</x:v>
      </x:c>
      <x:c r="G61" s="40" t="n">
        <x:f>'Tasks'!L33</x:f>
        <x:v>22</x:v>
      </x:c>
      <x:c r="H61" s="40" t="n">
        <x:f>MAX(0,MIN($G61,5)-MAX($F61,1)+1)*$D61/$E61</x:f>
        <x:v>0</x:v>
      </x:c>
      <x:c r="I61" s="40" t="n">
        <x:f>MAX(0,MIN($G61,10)-MAX($F61,6)+1)*$D61/$E61</x:f>
        <x:v>0</x:v>
      </x:c>
      <x:c r="J61" s="40" t="n">
        <x:f>MAX(0,MIN($G61,15)-MAX($F61,11)+1)*$D61/$E61</x:f>
        <x:v>0</x:v>
      </x:c>
      <x:c r="K61" s="40" t="n">
        <x:f>MAX(0,MIN($G61,20)-MAX($F61,16)+1)*$D61/$E61</x:f>
        <x:v>16</x:v>
      </x:c>
      <x:c r="L61" s="40" t="n">
        <x:f>MAX(0,MIN($G61,25)-MAX($F61,21)+1)*$D61/$E61</x:f>
        <x:v>8</x:v>
      </x:c>
      <x:c r="M61" s="40" t="n">
        <x:f>MAX(0,MIN($G61,30)-MAX($F61,26)+1)*$D61/$E61</x:f>
        <x:v>0</x:v>
      </x:c>
      <x:c r="N61" s="40" t="n">
        <x:f>MAX(0,MIN($G61,35)-MAX($F61,31)+1)*$D61/$E61</x:f>
        <x:v>0</x:v>
      </x:c>
      <x:c r="O61" s="40" t="n">
        <x:f>MAX(0,MIN($G61,40)-MAX($F61,36)+1)*$D61/$E61</x:f>
        <x:v>0</x:v>
      </x:c>
      <x:c r="P61" s="40" t="n">
        <x:f>MAX(0,MIN($G61,45)-MAX($F61,41)+1)*$D61/$E61</x:f>
        <x:v>0</x:v>
      </x:c>
      <x:c r="Q61" s="40" t="n">
        <x:f>MAX(0,MIN($G61,50)-MAX($F61,46)+1)*$D61/$E61</x:f>
        <x:v>0</x:v>
      </x:c>
      <x:c r="R61" s="40" t="n">
        <x:f>MAX(0,MIN($G61,55)-MAX($F61,51)+1)*$D61/$E61</x:f>
        <x:v>0</x:v>
      </x:c>
      <x:c r="S61" s="40" t="n">
        <x:f>MAX(0,MIN($G61,60)-MAX($F61,56)+1)*$D61/$E61</x:f>
        <x:v>0</x:v>
      </x:c>
      <x:c r="T61" s="40" t="n">
        <x:f>MAX(0,MIN($G61,65)-MAX($F61,61)+1)*$D61/$E61</x:f>
        <x:v>0</x:v>
      </x:c>
      <x:c r="U61" s="40" t="n">
        <x:f>MAX(0,MIN($G61,70)-MAX($F61,66)+1)*$D61/$E61</x:f>
        <x:v>0</x:v>
      </x:c>
      <x:c r="V61" s="40" t="n">
        <x:f>MAX(0,MIN($G61,75)-MAX($F61,71)+1)*$D61/$E61</x:f>
        <x:v>0</x:v>
      </x:c>
      <x:c r="W61" s="40" t="n">
        <x:f>MAX(0,MIN($G61,80)-MAX($F61,76)+1)*$D61/$E61</x:f>
        <x:v>0</x:v>
      </x:c>
      <x:c r="X61" s="40" t="n">
        <x:f>MAX(0,MIN($G61,85)-MAX($F61,81)+1)*$D61/$E61</x:f>
        <x:v>0</x:v>
      </x:c>
      <x:c r="Y61" s="40" t="n">
        <x:f>MAX(0,MIN($G61,90)-MAX($F61,86)+1)*$D61/$E61</x:f>
        <x:v>0</x:v>
      </x:c>
      <x:c r="Z61" s="40" t="n">
        <x:f>MAX(0,MIN($G61,95)-MAX($F61,91)+1)*$D61/$E61</x:f>
        <x:v>0</x:v>
      </x:c>
      <x:c r="AA61" s="40" t="n">
        <x:f>MAX(0,MIN($G61,100)-MAX($F61,96)+1)*$D61/$E61</x:f>
        <x:v>0</x:v>
      </x:c>
      <x:c r="AB61" s="40" t="n">
        <x:f>MAX(0,MIN($G61,105)-MAX($F61,101)+1)*$D61/$E61</x:f>
        <x:v>0</x:v>
      </x:c>
      <x:c r="AC61" s="40" t="n">
        <x:f>MAX(0,MIN($G61,110)-MAX($F61,106)+1)*$D61/$E61</x:f>
        <x:v>0</x:v>
      </x:c>
      <x:c r="AD61" s="40" t="n">
        <x:f>MAX(0,MIN($G61,115)-MAX($F61,111)+1)*$D61/$E61</x:f>
        <x:v>0</x:v>
      </x:c>
      <x:c r="AE61" s="40" t="n">
        <x:f>MAX(0,MIN($G61,120)-MAX($F61,116)+1)*$D61/$E61</x:f>
        <x:v>0</x:v>
      </x:c>
      <x:c r="AF61" s="40" t="n">
        <x:f>MAX(0,MIN($G61,125)-MAX($F61,121)+1)*$D61/$E61</x:f>
        <x:v>0</x:v>
      </x:c>
      <x:c r="AG61" s="40" t="n">
        <x:f>MAX(0,MIN($G61,130)-MAX($F61,126)+1)*$D61/$E61</x:f>
        <x:v>0</x:v>
      </x:c>
      <x:c r="AH61" s="40" t="n">
        <x:f>MAX(0,MIN($G61,135)-MAX($F61,131)+1)*$D61/$E61</x:f>
        <x:v>0</x:v>
      </x:c>
      <x:c r="AI61" s="40" t="n">
        <x:f>MAX(0,MIN($G61,140)-MAX($F61,136)+1)*$D61/$E61</x:f>
        <x:v>0</x:v>
      </x:c>
      <x:c r="AJ61" s="40" t="n">
        <x:f>MAX(0,MIN($G61,145)-MAX($F61,141)+1)*$D61/$E61</x:f>
        <x:v>0</x:v>
      </x:c>
      <x:c r="AK61" s="40" t="n">
        <x:f>MAX(0,MIN($G61,150)-MAX($F61,146)+1)*$D61/$E61</x:f>
        <x:v>0</x:v>
      </x:c>
      <x:c r="AL61" s="40" t="n">
        <x:f>MAX(0,MIN($G61,155)-MAX($F61,151)+1)*$D61/$E61</x:f>
        <x:v>0</x:v>
      </x:c>
      <x:c r="AM61" s="40" t="n">
        <x:f>MAX(0,MIN($G61,160)-MAX($F61,156)+1)*$D61/$E61</x:f>
        <x:v>0</x:v>
      </x:c>
      <x:c r="AN61" s="40" t="n">
        <x:f>MAX(0,MIN($G61,165)-MAX($F61,161)+1)*$D61/$E61</x:f>
        <x:v>0</x:v>
      </x:c>
      <x:c r="AO61" s="40" t="n">
        <x:f>MAX(0,MIN($G61,170)-MAX($F61,166)+1)*$D61/$E61</x:f>
        <x:v>0</x:v>
      </x:c>
      <x:c r="AP61" s="40" t="n">
        <x:f>MAX(0,MIN($G61,175)-MAX($F61,171)+1)*$D61/$E61</x:f>
        <x:v>0</x:v>
      </x:c>
      <x:c r="AQ61" s="40" t="n">
        <x:f>MAX(0,MIN($G61,180)-MAX($F61,176)+1)*$D61/$E61</x:f>
        <x:v>0</x:v>
      </x:c>
    </x:row>
    <x:row r="62" ht="27" customHeight="1">
      <x:c r="A62" s="10" t="str">
        <x:v>D02</x:v>
      </x:c>
      <x:c r="B62" s="10" t="str">
        <x:f>'Tasks'!D34</x:f>
        <x:v>TD</x:v>
      </x:c>
      <x:c r="C62" s="10" t="str">
        <x:v>Owner</x:v>
      </x:c>
      <x:c r="D62" s="39" t="n">
        <x:f>'Tasks'!O34</x:f>
        <x:v>12</x:v>
      </x:c>
      <x:c r="E62" s="39" t="n">
        <x:f>'Tasks'!F34</x:f>
        <x:v>2</x:v>
      </x:c>
      <x:c r="F62" s="39" t="n">
        <x:f>'Tasks'!K34</x:f>
        <x:v>33</x:v>
      </x:c>
      <x:c r="G62" s="39" t="n">
        <x:f>'Tasks'!L34</x:f>
        <x:v>34</x:v>
      </x:c>
      <x:c r="H62" s="39" t="n">
        <x:f>MAX(0,MIN($G62,5)-MAX($F62,1)+1)*$D62/$E62</x:f>
        <x:v>0</x:v>
      </x:c>
      <x:c r="I62" s="39" t="n">
        <x:f>MAX(0,MIN($G62,10)-MAX($F62,6)+1)*$D62/$E62</x:f>
        <x:v>0</x:v>
      </x:c>
      <x:c r="J62" s="39" t="n">
        <x:f>MAX(0,MIN($G62,15)-MAX($F62,11)+1)*$D62/$E62</x:f>
        <x:v>0</x:v>
      </x:c>
      <x:c r="K62" s="39" t="n">
        <x:f>MAX(0,MIN($G62,20)-MAX($F62,16)+1)*$D62/$E62</x:f>
        <x:v>0</x:v>
      </x:c>
      <x:c r="L62" s="39" t="n">
        <x:f>MAX(0,MIN($G62,25)-MAX($F62,21)+1)*$D62/$E62</x:f>
        <x:v>0</x:v>
      </x:c>
      <x:c r="M62" s="39" t="n">
        <x:f>MAX(0,MIN($G62,30)-MAX($F62,26)+1)*$D62/$E62</x:f>
        <x:v>0</x:v>
      </x:c>
      <x:c r="N62" s="39" t="n">
        <x:f>MAX(0,MIN($G62,35)-MAX($F62,31)+1)*$D62/$E62</x:f>
        <x:v>12</x:v>
      </x:c>
      <x:c r="O62" s="39" t="n">
        <x:f>MAX(0,MIN($G62,40)-MAX($F62,36)+1)*$D62/$E62</x:f>
        <x:v>0</x:v>
      </x:c>
      <x:c r="P62" s="39" t="n">
        <x:f>MAX(0,MIN($G62,45)-MAX($F62,41)+1)*$D62/$E62</x:f>
        <x:v>0</x:v>
      </x:c>
      <x:c r="Q62" s="39" t="n">
        <x:f>MAX(0,MIN($G62,50)-MAX($F62,46)+1)*$D62/$E62</x:f>
        <x:v>0</x:v>
      </x:c>
      <x:c r="R62" s="39" t="n">
        <x:f>MAX(0,MIN($G62,55)-MAX($F62,51)+1)*$D62/$E62</x:f>
        <x:v>0</x:v>
      </x:c>
      <x:c r="S62" s="39" t="n">
        <x:f>MAX(0,MIN($G62,60)-MAX($F62,56)+1)*$D62/$E62</x:f>
        <x:v>0</x:v>
      </x:c>
      <x:c r="T62" s="39" t="n">
        <x:f>MAX(0,MIN($G62,65)-MAX($F62,61)+1)*$D62/$E62</x:f>
        <x:v>0</x:v>
      </x:c>
      <x:c r="U62" s="39" t="n">
        <x:f>MAX(0,MIN($G62,70)-MAX($F62,66)+1)*$D62/$E62</x:f>
        <x:v>0</x:v>
      </x:c>
      <x:c r="V62" s="39" t="n">
        <x:f>MAX(0,MIN($G62,75)-MAX($F62,71)+1)*$D62/$E62</x:f>
        <x:v>0</x:v>
      </x:c>
      <x:c r="W62" s="39" t="n">
        <x:f>MAX(0,MIN($G62,80)-MAX($F62,76)+1)*$D62/$E62</x:f>
        <x:v>0</x:v>
      </x:c>
      <x:c r="X62" s="39" t="n">
        <x:f>MAX(0,MIN($G62,85)-MAX($F62,81)+1)*$D62/$E62</x:f>
        <x:v>0</x:v>
      </x:c>
      <x:c r="Y62" s="39" t="n">
        <x:f>MAX(0,MIN($G62,90)-MAX($F62,86)+1)*$D62/$E62</x:f>
        <x:v>0</x:v>
      </x:c>
      <x:c r="Z62" s="39" t="n">
        <x:f>MAX(0,MIN($G62,95)-MAX($F62,91)+1)*$D62/$E62</x:f>
        <x:v>0</x:v>
      </x:c>
      <x:c r="AA62" s="39" t="n">
        <x:f>MAX(0,MIN($G62,100)-MAX($F62,96)+1)*$D62/$E62</x:f>
        <x:v>0</x:v>
      </x:c>
      <x:c r="AB62" s="39" t="n">
        <x:f>MAX(0,MIN($G62,105)-MAX($F62,101)+1)*$D62/$E62</x:f>
        <x:v>0</x:v>
      </x:c>
      <x:c r="AC62" s="39" t="n">
        <x:f>MAX(0,MIN($G62,110)-MAX($F62,106)+1)*$D62/$E62</x:f>
        <x:v>0</x:v>
      </x:c>
      <x:c r="AD62" s="39" t="n">
        <x:f>MAX(0,MIN($G62,115)-MAX($F62,111)+1)*$D62/$E62</x:f>
        <x:v>0</x:v>
      </x:c>
      <x:c r="AE62" s="39" t="n">
        <x:f>MAX(0,MIN($G62,120)-MAX($F62,116)+1)*$D62/$E62</x:f>
        <x:v>0</x:v>
      </x:c>
      <x:c r="AF62" s="39" t="n">
        <x:f>MAX(0,MIN($G62,125)-MAX($F62,121)+1)*$D62/$E62</x:f>
        <x:v>0</x:v>
      </x:c>
      <x:c r="AG62" s="39" t="n">
        <x:f>MAX(0,MIN($G62,130)-MAX($F62,126)+1)*$D62/$E62</x:f>
        <x:v>0</x:v>
      </x:c>
      <x:c r="AH62" s="39" t="n">
        <x:f>MAX(0,MIN($G62,135)-MAX($F62,131)+1)*$D62/$E62</x:f>
        <x:v>0</x:v>
      </x:c>
      <x:c r="AI62" s="39" t="n">
        <x:f>MAX(0,MIN($G62,140)-MAX($F62,136)+1)*$D62/$E62</x:f>
        <x:v>0</x:v>
      </x:c>
      <x:c r="AJ62" s="39" t="n">
        <x:f>MAX(0,MIN($G62,145)-MAX($F62,141)+1)*$D62/$E62</x:f>
        <x:v>0</x:v>
      </x:c>
      <x:c r="AK62" s="39" t="n">
        <x:f>MAX(0,MIN($G62,150)-MAX($F62,146)+1)*$D62/$E62</x:f>
        <x:v>0</x:v>
      </x:c>
      <x:c r="AL62" s="39" t="n">
        <x:f>MAX(0,MIN($G62,155)-MAX($F62,151)+1)*$D62/$E62</x:f>
        <x:v>0</x:v>
      </x:c>
      <x:c r="AM62" s="39" t="n">
        <x:f>MAX(0,MIN($G62,160)-MAX($F62,156)+1)*$D62/$E62</x:f>
        <x:v>0</x:v>
      </x:c>
      <x:c r="AN62" s="39" t="n">
        <x:f>MAX(0,MIN($G62,165)-MAX($F62,161)+1)*$D62/$E62</x:f>
        <x:v>0</x:v>
      </x:c>
      <x:c r="AO62" s="39" t="n">
        <x:f>MAX(0,MIN($G62,170)-MAX($F62,166)+1)*$D62/$E62</x:f>
        <x:v>0</x:v>
      </x:c>
      <x:c r="AP62" s="39" t="n">
        <x:f>MAX(0,MIN($G62,175)-MAX($F62,171)+1)*$D62/$E62</x:f>
        <x:v>0</x:v>
      </x:c>
      <x:c r="AQ62" s="39" t="n">
        <x:f>MAX(0,MIN($G62,180)-MAX($F62,176)+1)*$D62/$E62</x:f>
        <x:v>0</x:v>
      </x:c>
    </x:row>
    <x:row r="63" ht="27" customHeight="1">
      <x:c r="A63" s="9" t="str">
        <x:v>D02</x:v>
      </x:c>
      <x:c r="B63" s="9" t="str">
        <x:f>'Tasks'!P34</x:f>
        <x:v>EXP</x:v>
      </x:c>
      <x:c r="C63" s="9" t="str">
        <x:v>Review</x:v>
      </x:c>
      <x:c r="D63" s="40" t="n">
        <x:f>'Tasks'!Q34</x:f>
        <x:v>8</x:v>
      </x:c>
      <x:c r="E63" s="40" t="n">
        <x:f>'Tasks'!F34</x:f>
        <x:v>2</x:v>
      </x:c>
      <x:c r="F63" s="40" t="n">
        <x:f>'Tasks'!K34</x:f>
        <x:v>33</x:v>
      </x:c>
      <x:c r="G63" s="40" t="n">
        <x:f>'Tasks'!L34</x:f>
        <x:v>34</x:v>
      </x:c>
      <x:c r="H63" s="40" t="n">
        <x:f>MAX(0,MIN($G63,5)-MAX($F63,1)+1)*$D63/$E63</x:f>
        <x:v>0</x:v>
      </x:c>
      <x:c r="I63" s="40" t="n">
        <x:f>MAX(0,MIN($G63,10)-MAX($F63,6)+1)*$D63/$E63</x:f>
        <x:v>0</x:v>
      </x:c>
      <x:c r="J63" s="40" t="n">
        <x:f>MAX(0,MIN($G63,15)-MAX($F63,11)+1)*$D63/$E63</x:f>
        <x:v>0</x:v>
      </x:c>
      <x:c r="K63" s="40" t="n">
        <x:f>MAX(0,MIN($G63,20)-MAX($F63,16)+1)*$D63/$E63</x:f>
        <x:v>0</x:v>
      </x:c>
      <x:c r="L63" s="40" t="n">
        <x:f>MAX(0,MIN($G63,25)-MAX($F63,21)+1)*$D63/$E63</x:f>
        <x:v>0</x:v>
      </x:c>
      <x:c r="M63" s="40" t="n">
        <x:f>MAX(0,MIN($G63,30)-MAX($F63,26)+1)*$D63/$E63</x:f>
        <x:v>0</x:v>
      </x:c>
      <x:c r="N63" s="40" t="n">
        <x:f>MAX(0,MIN($G63,35)-MAX($F63,31)+1)*$D63/$E63</x:f>
        <x:v>8</x:v>
      </x:c>
      <x:c r="O63" s="40" t="n">
        <x:f>MAX(0,MIN($G63,40)-MAX($F63,36)+1)*$D63/$E63</x:f>
        <x:v>0</x:v>
      </x:c>
      <x:c r="P63" s="40" t="n">
        <x:f>MAX(0,MIN($G63,45)-MAX($F63,41)+1)*$D63/$E63</x:f>
        <x:v>0</x:v>
      </x:c>
      <x:c r="Q63" s="40" t="n">
        <x:f>MAX(0,MIN($G63,50)-MAX($F63,46)+1)*$D63/$E63</x:f>
        <x:v>0</x:v>
      </x:c>
      <x:c r="R63" s="40" t="n">
        <x:f>MAX(0,MIN($G63,55)-MAX($F63,51)+1)*$D63/$E63</x:f>
        <x:v>0</x:v>
      </x:c>
      <x:c r="S63" s="40" t="n">
        <x:f>MAX(0,MIN($G63,60)-MAX($F63,56)+1)*$D63/$E63</x:f>
        <x:v>0</x:v>
      </x:c>
      <x:c r="T63" s="40" t="n">
        <x:f>MAX(0,MIN($G63,65)-MAX($F63,61)+1)*$D63/$E63</x:f>
        <x:v>0</x:v>
      </x:c>
      <x:c r="U63" s="40" t="n">
        <x:f>MAX(0,MIN($G63,70)-MAX($F63,66)+1)*$D63/$E63</x:f>
        <x:v>0</x:v>
      </x:c>
      <x:c r="V63" s="40" t="n">
        <x:f>MAX(0,MIN($G63,75)-MAX($F63,71)+1)*$D63/$E63</x:f>
        <x:v>0</x:v>
      </x:c>
      <x:c r="W63" s="40" t="n">
        <x:f>MAX(0,MIN($G63,80)-MAX($F63,76)+1)*$D63/$E63</x:f>
        <x:v>0</x:v>
      </x:c>
      <x:c r="X63" s="40" t="n">
        <x:f>MAX(0,MIN($G63,85)-MAX($F63,81)+1)*$D63/$E63</x:f>
        <x:v>0</x:v>
      </x:c>
      <x:c r="Y63" s="40" t="n">
        <x:f>MAX(0,MIN($G63,90)-MAX($F63,86)+1)*$D63/$E63</x:f>
        <x:v>0</x:v>
      </x:c>
      <x:c r="Z63" s="40" t="n">
        <x:f>MAX(0,MIN($G63,95)-MAX($F63,91)+1)*$D63/$E63</x:f>
        <x:v>0</x:v>
      </x:c>
      <x:c r="AA63" s="40" t="n">
        <x:f>MAX(0,MIN($G63,100)-MAX($F63,96)+1)*$D63/$E63</x:f>
        <x:v>0</x:v>
      </x:c>
      <x:c r="AB63" s="40" t="n">
        <x:f>MAX(0,MIN($G63,105)-MAX($F63,101)+1)*$D63/$E63</x:f>
        <x:v>0</x:v>
      </x:c>
      <x:c r="AC63" s="40" t="n">
        <x:f>MAX(0,MIN($G63,110)-MAX($F63,106)+1)*$D63/$E63</x:f>
        <x:v>0</x:v>
      </x:c>
      <x:c r="AD63" s="40" t="n">
        <x:f>MAX(0,MIN($G63,115)-MAX($F63,111)+1)*$D63/$E63</x:f>
        <x:v>0</x:v>
      </x:c>
      <x:c r="AE63" s="40" t="n">
        <x:f>MAX(0,MIN($G63,120)-MAX($F63,116)+1)*$D63/$E63</x:f>
        <x:v>0</x:v>
      </x:c>
      <x:c r="AF63" s="40" t="n">
        <x:f>MAX(0,MIN($G63,125)-MAX($F63,121)+1)*$D63/$E63</x:f>
        <x:v>0</x:v>
      </x:c>
      <x:c r="AG63" s="40" t="n">
        <x:f>MAX(0,MIN($G63,130)-MAX($F63,126)+1)*$D63/$E63</x:f>
        <x:v>0</x:v>
      </x:c>
      <x:c r="AH63" s="40" t="n">
        <x:f>MAX(0,MIN($G63,135)-MAX($F63,131)+1)*$D63/$E63</x:f>
        <x:v>0</x:v>
      </x:c>
      <x:c r="AI63" s="40" t="n">
        <x:f>MAX(0,MIN($G63,140)-MAX($F63,136)+1)*$D63/$E63</x:f>
        <x:v>0</x:v>
      </x:c>
      <x:c r="AJ63" s="40" t="n">
        <x:f>MAX(0,MIN($G63,145)-MAX($F63,141)+1)*$D63/$E63</x:f>
        <x:v>0</x:v>
      </x:c>
      <x:c r="AK63" s="40" t="n">
        <x:f>MAX(0,MIN($G63,150)-MAX($F63,146)+1)*$D63/$E63</x:f>
        <x:v>0</x:v>
      </x:c>
      <x:c r="AL63" s="40" t="n">
        <x:f>MAX(0,MIN($G63,155)-MAX($F63,151)+1)*$D63/$E63</x:f>
        <x:v>0</x:v>
      </x:c>
      <x:c r="AM63" s="40" t="n">
        <x:f>MAX(0,MIN($G63,160)-MAX($F63,156)+1)*$D63/$E63</x:f>
        <x:v>0</x:v>
      </x:c>
      <x:c r="AN63" s="40" t="n">
        <x:f>MAX(0,MIN($G63,165)-MAX($F63,161)+1)*$D63/$E63</x:f>
        <x:v>0</x:v>
      </x:c>
      <x:c r="AO63" s="40" t="n">
        <x:f>MAX(0,MIN($G63,170)-MAX($F63,166)+1)*$D63/$E63</x:f>
        <x:v>0</x:v>
      </x:c>
      <x:c r="AP63" s="40" t="n">
        <x:f>MAX(0,MIN($G63,175)-MAX($F63,171)+1)*$D63/$E63</x:f>
        <x:v>0</x:v>
      </x:c>
      <x:c r="AQ63" s="40" t="n">
        <x:f>MAX(0,MIN($G63,180)-MAX($F63,176)+1)*$D63/$E63</x:f>
        <x:v>0</x:v>
      </x:c>
    </x:row>
    <x:row r="64" ht="27" customHeight="1">
      <x:c r="A64" s="10" t="str">
        <x:v>D03</x:v>
      </x:c>
      <x:c r="B64" s="10" t="str">
        <x:f>'Tasks'!D35</x:f>
        <x:v>KE</x:v>
      </x:c>
      <x:c r="C64" s="10" t="str">
        <x:v>Owner</x:v>
      </x:c>
      <x:c r="D64" s="39" t="n">
        <x:f>'Tasks'!O35</x:f>
        <x:v>40</x:v>
      </x:c>
      <x:c r="E64" s="39" t="n">
        <x:f>'Tasks'!F35</x:f>
        <x:v>5</x:v>
      </x:c>
      <x:c r="F64" s="39" t="n">
        <x:f>'Tasks'!K35</x:f>
        <x:v>42</x:v>
      </x:c>
      <x:c r="G64" s="39" t="n">
        <x:f>'Tasks'!L35</x:f>
        <x:v>46</x:v>
      </x:c>
      <x:c r="H64" s="39" t="n">
        <x:f>MAX(0,MIN($G64,5)-MAX($F64,1)+1)*$D64/$E64</x:f>
        <x:v>0</x:v>
      </x:c>
      <x:c r="I64" s="39" t="n">
        <x:f>MAX(0,MIN($G64,10)-MAX($F64,6)+1)*$D64/$E64</x:f>
        <x:v>0</x:v>
      </x:c>
      <x:c r="J64" s="39" t="n">
        <x:f>MAX(0,MIN($G64,15)-MAX($F64,11)+1)*$D64/$E64</x:f>
        <x:v>0</x:v>
      </x:c>
      <x:c r="K64" s="39" t="n">
        <x:f>MAX(0,MIN($G64,20)-MAX($F64,16)+1)*$D64/$E64</x:f>
        <x:v>0</x:v>
      </x:c>
      <x:c r="L64" s="39" t="n">
        <x:f>MAX(0,MIN($G64,25)-MAX($F64,21)+1)*$D64/$E64</x:f>
        <x:v>0</x:v>
      </x:c>
      <x:c r="M64" s="39" t="n">
        <x:f>MAX(0,MIN($G64,30)-MAX($F64,26)+1)*$D64/$E64</x:f>
        <x:v>0</x:v>
      </x:c>
      <x:c r="N64" s="39" t="n">
        <x:f>MAX(0,MIN($G64,35)-MAX($F64,31)+1)*$D64/$E64</x:f>
        <x:v>0</x:v>
      </x:c>
      <x:c r="O64" s="39" t="n">
        <x:f>MAX(0,MIN($G64,40)-MAX($F64,36)+1)*$D64/$E64</x:f>
        <x:v>0</x:v>
      </x:c>
      <x:c r="P64" s="39" t="n">
        <x:f>MAX(0,MIN($G64,45)-MAX($F64,41)+1)*$D64/$E64</x:f>
        <x:v>32</x:v>
      </x:c>
      <x:c r="Q64" s="39" t="n">
        <x:f>MAX(0,MIN($G64,50)-MAX($F64,46)+1)*$D64/$E64</x:f>
        <x:v>8</x:v>
      </x:c>
      <x:c r="R64" s="39" t="n">
        <x:f>MAX(0,MIN($G64,55)-MAX($F64,51)+1)*$D64/$E64</x:f>
        <x:v>0</x:v>
      </x:c>
      <x:c r="S64" s="39" t="n">
        <x:f>MAX(0,MIN($G64,60)-MAX($F64,56)+1)*$D64/$E64</x:f>
        <x:v>0</x:v>
      </x:c>
      <x:c r="T64" s="39" t="n">
        <x:f>MAX(0,MIN($G64,65)-MAX($F64,61)+1)*$D64/$E64</x:f>
        <x:v>0</x:v>
      </x:c>
      <x:c r="U64" s="39" t="n">
        <x:f>MAX(0,MIN($G64,70)-MAX($F64,66)+1)*$D64/$E64</x:f>
        <x:v>0</x:v>
      </x:c>
      <x:c r="V64" s="39" t="n">
        <x:f>MAX(0,MIN($G64,75)-MAX($F64,71)+1)*$D64/$E64</x:f>
        <x:v>0</x:v>
      </x:c>
      <x:c r="W64" s="39" t="n">
        <x:f>MAX(0,MIN($G64,80)-MAX($F64,76)+1)*$D64/$E64</x:f>
        <x:v>0</x:v>
      </x:c>
      <x:c r="X64" s="39" t="n">
        <x:f>MAX(0,MIN($G64,85)-MAX($F64,81)+1)*$D64/$E64</x:f>
        <x:v>0</x:v>
      </x:c>
      <x:c r="Y64" s="39" t="n">
        <x:f>MAX(0,MIN($G64,90)-MAX($F64,86)+1)*$D64/$E64</x:f>
        <x:v>0</x:v>
      </x:c>
      <x:c r="Z64" s="39" t="n">
        <x:f>MAX(0,MIN($G64,95)-MAX($F64,91)+1)*$D64/$E64</x:f>
        <x:v>0</x:v>
      </x:c>
      <x:c r="AA64" s="39" t="n">
        <x:f>MAX(0,MIN($G64,100)-MAX($F64,96)+1)*$D64/$E64</x:f>
        <x:v>0</x:v>
      </x:c>
      <x:c r="AB64" s="39" t="n">
        <x:f>MAX(0,MIN($G64,105)-MAX($F64,101)+1)*$D64/$E64</x:f>
        <x:v>0</x:v>
      </x:c>
      <x:c r="AC64" s="39" t="n">
        <x:f>MAX(0,MIN($G64,110)-MAX($F64,106)+1)*$D64/$E64</x:f>
        <x:v>0</x:v>
      </x:c>
      <x:c r="AD64" s="39" t="n">
        <x:f>MAX(0,MIN($G64,115)-MAX($F64,111)+1)*$D64/$E64</x:f>
        <x:v>0</x:v>
      </x:c>
      <x:c r="AE64" s="39" t="n">
        <x:f>MAX(0,MIN($G64,120)-MAX($F64,116)+1)*$D64/$E64</x:f>
        <x:v>0</x:v>
      </x:c>
      <x:c r="AF64" s="39" t="n">
        <x:f>MAX(0,MIN($G64,125)-MAX($F64,121)+1)*$D64/$E64</x:f>
        <x:v>0</x:v>
      </x:c>
      <x:c r="AG64" s="39" t="n">
        <x:f>MAX(0,MIN($G64,130)-MAX($F64,126)+1)*$D64/$E64</x:f>
        <x:v>0</x:v>
      </x:c>
      <x:c r="AH64" s="39" t="n">
        <x:f>MAX(0,MIN($G64,135)-MAX($F64,131)+1)*$D64/$E64</x:f>
        <x:v>0</x:v>
      </x:c>
      <x:c r="AI64" s="39" t="n">
        <x:f>MAX(0,MIN($G64,140)-MAX($F64,136)+1)*$D64/$E64</x:f>
        <x:v>0</x:v>
      </x:c>
      <x:c r="AJ64" s="39" t="n">
        <x:f>MAX(0,MIN($G64,145)-MAX($F64,141)+1)*$D64/$E64</x:f>
        <x:v>0</x:v>
      </x:c>
      <x:c r="AK64" s="39" t="n">
        <x:f>MAX(0,MIN($G64,150)-MAX($F64,146)+1)*$D64/$E64</x:f>
        <x:v>0</x:v>
      </x:c>
      <x:c r="AL64" s="39" t="n">
        <x:f>MAX(0,MIN($G64,155)-MAX($F64,151)+1)*$D64/$E64</x:f>
        <x:v>0</x:v>
      </x:c>
      <x:c r="AM64" s="39" t="n">
        <x:f>MAX(0,MIN($G64,160)-MAX($F64,156)+1)*$D64/$E64</x:f>
        <x:v>0</x:v>
      </x:c>
      <x:c r="AN64" s="39" t="n">
        <x:f>MAX(0,MIN($G64,165)-MAX($F64,161)+1)*$D64/$E64</x:f>
        <x:v>0</x:v>
      </x:c>
      <x:c r="AO64" s="39" t="n">
        <x:f>MAX(0,MIN($G64,170)-MAX($F64,166)+1)*$D64/$E64</x:f>
        <x:v>0</x:v>
      </x:c>
      <x:c r="AP64" s="39" t="n">
        <x:f>MAX(0,MIN($G64,175)-MAX($F64,171)+1)*$D64/$E64</x:f>
        <x:v>0</x:v>
      </x:c>
      <x:c r="AQ64" s="39" t="n">
        <x:f>MAX(0,MIN($G64,180)-MAX($F64,176)+1)*$D64/$E64</x:f>
        <x:v>0</x:v>
      </x:c>
    </x:row>
    <x:row r="65" ht="27" customHeight="1">
      <x:c r="A65" s="9" t="str">
        <x:v>D03</x:v>
      </x:c>
      <x:c r="B65" s="9" t="str">
        <x:f>'Tasks'!P35</x:f>
        <x:v>EXP</x:v>
      </x:c>
      <x:c r="C65" s="9" t="str">
        <x:v>Review</x:v>
      </x:c>
      <x:c r="D65" s="40" t="n">
        <x:f>'Tasks'!Q35</x:f>
        <x:v>50</x:v>
      </x:c>
      <x:c r="E65" s="40" t="n">
        <x:f>'Tasks'!F35</x:f>
        <x:v>5</x:v>
      </x:c>
      <x:c r="F65" s="40" t="n">
        <x:f>'Tasks'!K35</x:f>
        <x:v>42</x:v>
      </x:c>
      <x:c r="G65" s="40" t="n">
        <x:f>'Tasks'!L35</x:f>
        <x:v>46</x:v>
      </x:c>
      <x:c r="H65" s="40" t="n">
        <x:f>MAX(0,MIN($G65,5)-MAX($F65,1)+1)*$D65/$E65</x:f>
        <x:v>0</x:v>
      </x:c>
      <x:c r="I65" s="40" t="n">
        <x:f>MAX(0,MIN($G65,10)-MAX($F65,6)+1)*$D65/$E65</x:f>
        <x:v>0</x:v>
      </x:c>
      <x:c r="J65" s="40" t="n">
        <x:f>MAX(0,MIN($G65,15)-MAX($F65,11)+1)*$D65/$E65</x:f>
        <x:v>0</x:v>
      </x:c>
      <x:c r="K65" s="40" t="n">
        <x:f>MAX(0,MIN($G65,20)-MAX($F65,16)+1)*$D65/$E65</x:f>
        <x:v>0</x:v>
      </x:c>
      <x:c r="L65" s="40" t="n">
        <x:f>MAX(0,MIN($G65,25)-MAX($F65,21)+1)*$D65/$E65</x:f>
        <x:v>0</x:v>
      </x:c>
      <x:c r="M65" s="40" t="n">
        <x:f>MAX(0,MIN($G65,30)-MAX($F65,26)+1)*$D65/$E65</x:f>
        <x:v>0</x:v>
      </x:c>
      <x:c r="N65" s="40" t="n">
        <x:f>MAX(0,MIN($G65,35)-MAX($F65,31)+1)*$D65/$E65</x:f>
        <x:v>0</x:v>
      </x:c>
      <x:c r="O65" s="40" t="n">
        <x:f>MAX(0,MIN($G65,40)-MAX($F65,36)+1)*$D65/$E65</x:f>
        <x:v>0</x:v>
      </x:c>
      <x:c r="P65" s="40" t="n">
        <x:f>MAX(0,MIN($G65,45)-MAX($F65,41)+1)*$D65/$E65</x:f>
        <x:v>40</x:v>
      </x:c>
      <x:c r="Q65" s="40" t="n">
        <x:f>MAX(0,MIN($G65,50)-MAX($F65,46)+1)*$D65/$E65</x:f>
        <x:v>10</x:v>
      </x:c>
      <x:c r="R65" s="40" t="n">
        <x:f>MAX(0,MIN($G65,55)-MAX($F65,51)+1)*$D65/$E65</x:f>
        <x:v>0</x:v>
      </x:c>
      <x:c r="S65" s="40" t="n">
        <x:f>MAX(0,MIN($G65,60)-MAX($F65,56)+1)*$D65/$E65</x:f>
        <x:v>0</x:v>
      </x:c>
      <x:c r="T65" s="40" t="n">
        <x:f>MAX(0,MIN($G65,65)-MAX($F65,61)+1)*$D65/$E65</x:f>
        <x:v>0</x:v>
      </x:c>
      <x:c r="U65" s="40" t="n">
        <x:f>MAX(0,MIN($G65,70)-MAX($F65,66)+1)*$D65/$E65</x:f>
        <x:v>0</x:v>
      </x:c>
      <x:c r="V65" s="40" t="n">
        <x:f>MAX(0,MIN($G65,75)-MAX($F65,71)+1)*$D65/$E65</x:f>
        <x:v>0</x:v>
      </x:c>
      <x:c r="W65" s="40" t="n">
        <x:f>MAX(0,MIN($G65,80)-MAX($F65,76)+1)*$D65/$E65</x:f>
        <x:v>0</x:v>
      </x:c>
      <x:c r="X65" s="40" t="n">
        <x:f>MAX(0,MIN($G65,85)-MAX($F65,81)+1)*$D65/$E65</x:f>
        <x:v>0</x:v>
      </x:c>
      <x:c r="Y65" s="40" t="n">
        <x:f>MAX(0,MIN($G65,90)-MAX($F65,86)+1)*$D65/$E65</x:f>
        <x:v>0</x:v>
      </x:c>
      <x:c r="Z65" s="40" t="n">
        <x:f>MAX(0,MIN($G65,95)-MAX($F65,91)+1)*$D65/$E65</x:f>
        <x:v>0</x:v>
      </x:c>
      <x:c r="AA65" s="40" t="n">
        <x:f>MAX(0,MIN($G65,100)-MAX($F65,96)+1)*$D65/$E65</x:f>
        <x:v>0</x:v>
      </x:c>
      <x:c r="AB65" s="40" t="n">
        <x:f>MAX(0,MIN($G65,105)-MAX($F65,101)+1)*$D65/$E65</x:f>
        <x:v>0</x:v>
      </x:c>
      <x:c r="AC65" s="40" t="n">
        <x:f>MAX(0,MIN($G65,110)-MAX($F65,106)+1)*$D65/$E65</x:f>
        <x:v>0</x:v>
      </x:c>
      <x:c r="AD65" s="40" t="n">
        <x:f>MAX(0,MIN($G65,115)-MAX($F65,111)+1)*$D65/$E65</x:f>
        <x:v>0</x:v>
      </x:c>
      <x:c r="AE65" s="40" t="n">
        <x:f>MAX(0,MIN($G65,120)-MAX($F65,116)+1)*$D65/$E65</x:f>
        <x:v>0</x:v>
      </x:c>
      <x:c r="AF65" s="40" t="n">
        <x:f>MAX(0,MIN($G65,125)-MAX($F65,121)+1)*$D65/$E65</x:f>
        <x:v>0</x:v>
      </x:c>
      <x:c r="AG65" s="40" t="n">
        <x:f>MAX(0,MIN($G65,130)-MAX($F65,126)+1)*$D65/$E65</x:f>
        <x:v>0</x:v>
      </x:c>
      <x:c r="AH65" s="40" t="n">
        <x:f>MAX(0,MIN($G65,135)-MAX($F65,131)+1)*$D65/$E65</x:f>
        <x:v>0</x:v>
      </x:c>
      <x:c r="AI65" s="40" t="n">
        <x:f>MAX(0,MIN($G65,140)-MAX($F65,136)+1)*$D65/$E65</x:f>
        <x:v>0</x:v>
      </x:c>
      <x:c r="AJ65" s="40" t="n">
        <x:f>MAX(0,MIN($G65,145)-MAX($F65,141)+1)*$D65/$E65</x:f>
        <x:v>0</x:v>
      </x:c>
      <x:c r="AK65" s="40" t="n">
        <x:f>MAX(0,MIN($G65,150)-MAX($F65,146)+1)*$D65/$E65</x:f>
        <x:v>0</x:v>
      </x:c>
      <x:c r="AL65" s="40" t="n">
        <x:f>MAX(0,MIN($G65,155)-MAX($F65,151)+1)*$D65/$E65</x:f>
        <x:v>0</x:v>
      </x:c>
      <x:c r="AM65" s="40" t="n">
        <x:f>MAX(0,MIN($G65,160)-MAX($F65,156)+1)*$D65/$E65</x:f>
        <x:v>0</x:v>
      </x:c>
      <x:c r="AN65" s="40" t="n">
        <x:f>MAX(0,MIN($G65,165)-MAX($F65,161)+1)*$D65/$E65</x:f>
        <x:v>0</x:v>
      </x:c>
      <x:c r="AO65" s="40" t="n">
        <x:f>MAX(0,MIN($G65,170)-MAX($F65,166)+1)*$D65/$E65</x:f>
        <x:v>0</x:v>
      </x:c>
      <x:c r="AP65" s="40" t="n">
        <x:f>MAX(0,MIN($G65,175)-MAX($F65,171)+1)*$D65/$E65</x:f>
        <x:v>0</x:v>
      </x:c>
      <x:c r="AQ65" s="40" t="n">
        <x:f>MAX(0,MIN($G65,180)-MAX($F65,176)+1)*$D65/$E65</x:f>
        <x:v>0</x:v>
      </x:c>
    </x:row>
    <x:row r="66" ht="27" customHeight="1">
      <x:c r="A66" s="10" t="str">
        <x:v>D04</x:v>
      </x:c>
      <x:c r="B66" s="10" t="str">
        <x:f>'Tasks'!D36</x:f>
        <x:v>TD</x:v>
      </x:c>
      <x:c r="C66" s="10" t="str">
        <x:v>Owner</x:v>
      </x:c>
      <x:c r="D66" s="39" t="n">
        <x:f>'Tasks'!O36</x:f>
        <x:v>18</x:v>
      </x:c>
      <x:c r="E66" s="39" t="n">
        <x:f>'Tasks'!F36</x:f>
        <x:v>4</x:v>
      </x:c>
      <x:c r="F66" s="39" t="n">
        <x:f>'Tasks'!K36</x:f>
        <x:v>35</x:v>
      </x:c>
      <x:c r="G66" s="39" t="n">
        <x:f>'Tasks'!L36</x:f>
        <x:v>38</x:v>
      </x:c>
      <x:c r="H66" s="39" t="n">
        <x:f>MAX(0,MIN($G66,5)-MAX($F66,1)+1)*$D66/$E66</x:f>
        <x:v>0</x:v>
      </x:c>
      <x:c r="I66" s="39" t="n">
        <x:f>MAX(0,MIN($G66,10)-MAX($F66,6)+1)*$D66/$E66</x:f>
        <x:v>0</x:v>
      </x:c>
      <x:c r="J66" s="39" t="n">
        <x:f>MAX(0,MIN($G66,15)-MAX($F66,11)+1)*$D66/$E66</x:f>
        <x:v>0</x:v>
      </x:c>
      <x:c r="K66" s="39" t="n">
        <x:f>MAX(0,MIN($G66,20)-MAX($F66,16)+1)*$D66/$E66</x:f>
        <x:v>0</x:v>
      </x:c>
      <x:c r="L66" s="39" t="n">
        <x:f>MAX(0,MIN($G66,25)-MAX($F66,21)+1)*$D66/$E66</x:f>
        <x:v>0</x:v>
      </x:c>
      <x:c r="M66" s="39" t="n">
        <x:f>MAX(0,MIN($G66,30)-MAX($F66,26)+1)*$D66/$E66</x:f>
        <x:v>0</x:v>
      </x:c>
      <x:c r="N66" s="39" t="n">
        <x:f>MAX(0,MIN($G66,35)-MAX($F66,31)+1)*$D66/$E66</x:f>
        <x:v>4.5</x:v>
      </x:c>
      <x:c r="O66" s="39" t="n">
        <x:f>MAX(0,MIN($G66,40)-MAX($F66,36)+1)*$D66/$E66</x:f>
        <x:v>13.5</x:v>
      </x:c>
      <x:c r="P66" s="39" t="n">
        <x:f>MAX(0,MIN($G66,45)-MAX($F66,41)+1)*$D66/$E66</x:f>
        <x:v>0</x:v>
      </x:c>
      <x:c r="Q66" s="39" t="n">
        <x:f>MAX(0,MIN($G66,50)-MAX($F66,46)+1)*$D66/$E66</x:f>
        <x:v>0</x:v>
      </x:c>
      <x:c r="R66" s="39" t="n">
        <x:f>MAX(0,MIN($G66,55)-MAX($F66,51)+1)*$D66/$E66</x:f>
        <x:v>0</x:v>
      </x:c>
      <x:c r="S66" s="39" t="n">
        <x:f>MAX(0,MIN($G66,60)-MAX($F66,56)+1)*$D66/$E66</x:f>
        <x:v>0</x:v>
      </x:c>
      <x:c r="T66" s="39" t="n">
        <x:f>MAX(0,MIN($G66,65)-MAX($F66,61)+1)*$D66/$E66</x:f>
        <x:v>0</x:v>
      </x:c>
      <x:c r="U66" s="39" t="n">
        <x:f>MAX(0,MIN($G66,70)-MAX($F66,66)+1)*$D66/$E66</x:f>
        <x:v>0</x:v>
      </x:c>
      <x:c r="V66" s="39" t="n">
        <x:f>MAX(0,MIN($G66,75)-MAX($F66,71)+1)*$D66/$E66</x:f>
        <x:v>0</x:v>
      </x:c>
      <x:c r="W66" s="39" t="n">
        <x:f>MAX(0,MIN($G66,80)-MAX($F66,76)+1)*$D66/$E66</x:f>
        <x:v>0</x:v>
      </x:c>
      <x:c r="X66" s="39" t="n">
        <x:f>MAX(0,MIN($G66,85)-MAX($F66,81)+1)*$D66/$E66</x:f>
        <x:v>0</x:v>
      </x:c>
      <x:c r="Y66" s="39" t="n">
        <x:f>MAX(0,MIN($G66,90)-MAX($F66,86)+1)*$D66/$E66</x:f>
        <x:v>0</x:v>
      </x:c>
      <x:c r="Z66" s="39" t="n">
        <x:f>MAX(0,MIN($G66,95)-MAX($F66,91)+1)*$D66/$E66</x:f>
        <x:v>0</x:v>
      </x:c>
      <x:c r="AA66" s="39" t="n">
        <x:f>MAX(0,MIN($G66,100)-MAX($F66,96)+1)*$D66/$E66</x:f>
        <x:v>0</x:v>
      </x:c>
      <x:c r="AB66" s="39" t="n">
        <x:f>MAX(0,MIN($G66,105)-MAX($F66,101)+1)*$D66/$E66</x:f>
        <x:v>0</x:v>
      </x:c>
      <x:c r="AC66" s="39" t="n">
        <x:f>MAX(0,MIN($G66,110)-MAX($F66,106)+1)*$D66/$E66</x:f>
        <x:v>0</x:v>
      </x:c>
      <x:c r="AD66" s="39" t="n">
        <x:f>MAX(0,MIN($G66,115)-MAX($F66,111)+1)*$D66/$E66</x:f>
        <x:v>0</x:v>
      </x:c>
      <x:c r="AE66" s="39" t="n">
        <x:f>MAX(0,MIN($G66,120)-MAX($F66,116)+1)*$D66/$E66</x:f>
        <x:v>0</x:v>
      </x:c>
      <x:c r="AF66" s="39" t="n">
        <x:f>MAX(0,MIN($G66,125)-MAX($F66,121)+1)*$D66/$E66</x:f>
        <x:v>0</x:v>
      </x:c>
      <x:c r="AG66" s="39" t="n">
        <x:f>MAX(0,MIN($G66,130)-MAX($F66,126)+1)*$D66/$E66</x:f>
        <x:v>0</x:v>
      </x:c>
      <x:c r="AH66" s="39" t="n">
        <x:f>MAX(0,MIN($G66,135)-MAX($F66,131)+1)*$D66/$E66</x:f>
        <x:v>0</x:v>
      </x:c>
      <x:c r="AI66" s="39" t="n">
        <x:f>MAX(0,MIN($G66,140)-MAX($F66,136)+1)*$D66/$E66</x:f>
        <x:v>0</x:v>
      </x:c>
      <x:c r="AJ66" s="39" t="n">
        <x:f>MAX(0,MIN($G66,145)-MAX($F66,141)+1)*$D66/$E66</x:f>
        <x:v>0</x:v>
      </x:c>
      <x:c r="AK66" s="39" t="n">
        <x:f>MAX(0,MIN($G66,150)-MAX($F66,146)+1)*$D66/$E66</x:f>
        <x:v>0</x:v>
      </x:c>
      <x:c r="AL66" s="39" t="n">
        <x:f>MAX(0,MIN($G66,155)-MAX($F66,151)+1)*$D66/$E66</x:f>
        <x:v>0</x:v>
      </x:c>
      <x:c r="AM66" s="39" t="n">
        <x:f>MAX(0,MIN($G66,160)-MAX($F66,156)+1)*$D66/$E66</x:f>
        <x:v>0</x:v>
      </x:c>
      <x:c r="AN66" s="39" t="n">
        <x:f>MAX(0,MIN($G66,165)-MAX($F66,161)+1)*$D66/$E66</x:f>
        <x:v>0</x:v>
      </x:c>
      <x:c r="AO66" s="39" t="n">
        <x:f>MAX(0,MIN($G66,170)-MAX($F66,166)+1)*$D66/$E66</x:f>
        <x:v>0</x:v>
      </x:c>
      <x:c r="AP66" s="39" t="n">
        <x:f>MAX(0,MIN($G66,175)-MAX($F66,171)+1)*$D66/$E66</x:f>
        <x:v>0</x:v>
      </x:c>
      <x:c r="AQ66" s="39" t="n">
        <x:f>MAX(0,MIN($G66,180)-MAX($F66,176)+1)*$D66/$E66</x:f>
        <x:v>0</x:v>
      </x:c>
    </x:row>
    <x:row r="67" ht="27" customHeight="1">
      <x:c r="A67" s="9" t="str">
        <x:v>D04</x:v>
      </x:c>
      <x:c r="B67" s="9" t="str">
        <x:f>'Tasks'!P36</x:f>
        <x:v>EXP</x:v>
      </x:c>
      <x:c r="C67" s="9" t="str">
        <x:v>Review</x:v>
      </x:c>
      <x:c r="D67" s="40" t="n">
        <x:f>'Tasks'!Q36</x:f>
        <x:v>16</x:v>
      </x:c>
      <x:c r="E67" s="40" t="n">
        <x:f>'Tasks'!F36</x:f>
        <x:v>4</x:v>
      </x:c>
      <x:c r="F67" s="40" t="n">
        <x:f>'Tasks'!K36</x:f>
        <x:v>35</x:v>
      </x:c>
      <x:c r="G67" s="40" t="n">
        <x:f>'Tasks'!L36</x:f>
        <x:v>38</x:v>
      </x:c>
      <x:c r="H67" s="40" t="n">
        <x:f>MAX(0,MIN($G67,5)-MAX($F67,1)+1)*$D67/$E67</x:f>
        <x:v>0</x:v>
      </x:c>
      <x:c r="I67" s="40" t="n">
        <x:f>MAX(0,MIN($G67,10)-MAX($F67,6)+1)*$D67/$E67</x:f>
        <x:v>0</x:v>
      </x:c>
      <x:c r="J67" s="40" t="n">
        <x:f>MAX(0,MIN($G67,15)-MAX($F67,11)+1)*$D67/$E67</x:f>
        <x:v>0</x:v>
      </x:c>
      <x:c r="K67" s="40" t="n">
        <x:f>MAX(0,MIN($G67,20)-MAX($F67,16)+1)*$D67/$E67</x:f>
        <x:v>0</x:v>
      </x:c>
      <x:c r="L67" s="40" t="n">
        <x:f>MAX(0,MIN($G67,25)-MAX($F67,21)+1)*$D67/$E67</x:f>
        <x:v>0</x:v>
      </x:c>
      <x:c r="M67" s="40" t="n">
        <x:f>MAX(0,MIN($G67,30)-MAX($F67,26)+1)*$D67/$E67</x:f>
        <x:v>0</x:v>
      </x:c>
      <x:c r="N67" s="40" t="n">
        <x:f>MAX(0,MIN($G67,35)-MAX($F67,31)+1)*$D67/$E67</x:f>
        <x:v>4</x:v>
      </x:c>
      <x:c r="O67" s="40" t="n">
        <x:f>MAX(0,MIN($G67,40)-MAX($F67,36)+1)*$D67/$E67</x:f>
        <x:v>12</x:v>
      </x:c>
      <x:c r="P67" s="40" t="n">
        <x:f>MAX(0,MIN($G67,45)-MAX($F67,41)+1)*$D67/$E67</x:f>
        <x:v>0</x:v>
      </x:c>
      <x:c r="Q67" s="40" t="n">
        <x:f>MAX(0,MIN($G67,50)-MAX($F67,46)+1)*$D67/$E67</x:f>
        <x:v>0</x:v>
      </x:c>
      <x:c r="R67" s="40" t="n">
        <x:f>MAX(0,MIN($G67,55)-MAX($F67,51)+1)*$D67/$E67</x:f>
        <x:v>0</x:v>
      </x:c>
      <x:c r="S67" s="40" t="n">
        <x:f>MAX(0,MIN($G67,60)-MAX($F67,56)+1)*$D67/$E67</x:f>
        <x:v>0</x:v>
      </x:c>
      <x:c r="T67" s="40" t="n">
        <x:f>MAX(0,MIN($G67,65)-MAX($F67,61)+1)*$D67/$E67</x:f>
        <x:v>0</x:v>
      </x:c>
      <x:c r="U67" s="40" t="n">
        <x:f>MAX(0,MIN($G67,70)-MAX($F67,66)+1)*$D67/$E67</x:f>
        <x:v>0</x:v>
      </x:c>
      <x:c r="V67" s="40" t="n">
        <x:f>MAX(0,MIN($G67,75)-MAX($F67,71)+1)*$D67/$E67</x:f>
        <x:v>0</x:v>
      </x:c>
      <x:c r="W67" s="40" t="n">
        <x:f>MAX(0,MIN($G67,80)-MAX($F67,76)+1)*$D67/$E67</x:f>
        <x:v>0</x:v>
      </x:c>
      <x:c r="X67" s="40" t="n">
        <x:f>MAX(0,MIN($G67,85)-MAX($F67,81)+1)*$D67/$E67</x:f>
        <x:v>0</x:v>
      </x:c>
      <x:c r="Y67" s="40" t="n">
        <x:f>MAX(0,MIN($G67,90)-MAX($F67,86)+1)*$D67/$E67</x:f>
        <x:v>0</x:v>
      </x:c>
      <x:c r="Z67" s="40" t="n">
        <x:f>MAX(0,MIN($G67,95)-MAX($F67,91)+1)*$D67/$E67</x:f>
        <x:v>0</x:v>
      </x:c>
      <x:c r="AA67" s="40" t="n">
        <x:f>MAX(0,MIN($G67,100)-MAX($F67,96)+1)*$D67/$E67</x:f>
        <x:v>0</x:v>
      </x:c>
      <x:c r="AB67" s="40" t="n">
        <x:f>MAX(0,MIN($G67,105)-MAX($F67,101)+1)*$D67/$E67</x:f>
        <x:v>0</x:v>
      </x:c>
      <x:c r="AC67" s="40" t="n">
        <x:f>MAX(0,MIN($G67,110)-MAX($F67,106)+1)*$D67/$E67</x:f>
        <x:v>0</x:v>
      </x:c>
      <x:c r="AD67" s="40" t="n">
        <x:f>MAX(0,MIN($G67,115)-MAX($F67,111)+1)*$D67/$E67</x:f>
        <x:v>0</x:v>
      </x:c>
      <x:c r="AE67" s="40" t="n">
        <x:f>MAX(0,MIN($G67,120)-MAX($F67,116)+1)*$D67/$E67</x:f>
        <x:v>0</x:v>
      </x:c>
      <x:c r="AF67" s="40" t="n">
        <x:f>MAX(0,MIN($G67,125)-MAX($F67,121)+1)*$D67/$E67</x:f>
        <x:v>0</x:v>
      </x:c>
      <x:c r="AG67" s="40" t="n">
        <x:f>MAX(0,MIN($G67,130)-MAX($F67,126)+1)*$D67/$E67</x:f>
        <x:v>0</x:v>
      </x:c>
      <x:c r="AH67" s="40" t="n">
        <x:f>MAX(0,MIN($G67,135)-MAX($F67,131)+1)*$D67/$E67</x:f>
        <x:v>0</x:v>
      </x:c>
      <x:c r="AI67" s="40" t="n">
        <x:f>MAX(0,MIN($G67,140)-MAX($F67,136)+1)*$D67/$E67</x:f>
        <x:v>0</x:v>
      </x:c>
      <x:c r="AJ67" s="40" t="n">
        <x:f>MAX(0,MIN($G67,145)-MAX($F67,141)+1)*$D67/$E67</x:f>
        <x:v>0</x:v>
      </x:c>
      <x:c r="AK67" s="40" t="n">
        <x:f>MAX(0,MIN($G67,150)-MAX($F67,146)+1)*$D67/$E67</x:f>
        <x:v>0</x:v>
      </x:c>
      <x:c r="AL67" s="40" t="n">
        <x:f>MAX(0,MIN($G67,155)-MAX($F67,151)+1)*$D67/$E67</x:f>
        <x:v>0</x:v>
      </x:c>
      <x:c r="AM67" s="40" t="n">
        <x:f>MAX(0,MIN($G67,160)-MAX($F67,156)+1)*$D67/$E67</x:f>
        <x:v>0</x:v>
      </x:c>
      <x:c r="AN67" s="40" t="n">
        <x:f>MAX(0,MIN($G67,165)-MAX($F67,161)+1)*$D67/$E67</x:f>
        <x:v>0</x:v>
      </x:c>
      <x:c r="AO67" s="40" t="n">
        <x:f>MAX(0,MIN($G67,170)-MAX($F67,166)+1)*$D67/$E67</x:f>
        <x:v>0</x:v>
      </x:c>
      <x:c r="AP67" s="40" t="n">
        <x:f>MAX(0,MIN($G67,175)-MAX($F67,171)+1)*$D67/$E67</x:f>
        <x:v>0</x:v>
      </x:c>
      <x:c r="AQ67" s="40" t="n">
        <x:f>MAX(0,MIN($G67,180)-MAX($F67,176)+1)*$D67/$E67</x:f>
        <x:v>0</x:v>
      </x:c>
    </x:row>
    <x:row r="68" ht="27" customHeight="1">
      <x:c r="A68" s="10" t="str">
        <x:v>E01</x:v>
      </x:c>
      <x:c r="B68" s="10" t="str">
        <x:f>'Tasks'!D37</x:f>
        <x:v>AI</x:v>
      </x:c>
      <x:c r="C68" s="10" t="str">
        <x:v>Owner</x:v>
      </x:c>
      <x:c r="D68" s="39" t="n">
        <x:f>'Tasks'!O37</x:f>
        <x:v>18</x:v>
      </x:c>
      <x:c r="E68" s="39" t="n">
        <x:f>'Tasks'!F37</x:f>
        <x:v>3</x:v>
      </x:c>
      <x:c r="F68" s="39" t="n">
        <x:f>'Tasks'!K37</x:f>
        <x:v>39</x:v>
      </x:c>
      <x:c r="G68" s="39" t="n">
        <x:f>'Tasks'!L37</x:f>
        <x:v>41</x:v>
      </x:c>
      <x:c r="H68" s="39" t="n">
        <x:f>MAX(0,MIN($G68,5)-MAX($F68,1)+1)*$D68/$E68</x:f>
        <x:v>0</x:v>
      </x:c>
      <x:c r="I68" s="39" t="n">
        <x:f>MAX(0,MIN($G68,10)-MAX($F68,6)+1)*$D68/$E68</x:f>
        <x:v>0</x:v>
      </x:c>
      <x:c r="J68" s="39" t="n">
        <x:f>MAX(0,MIN($G68,15)-MAX($F68,11)+1)*$D68/$E68</x:f>
        <x:v>0</x:v>
      </x:c>
      <x:c r="K68" s="39" t="n">
        <x:f>MAX(0,MIN($G68,20)-MAX($F68,16)+1)*$D68/$E68</x:f>
        <x:v>0</x:v>
      </x:c>
      <x:c r="L68" s="39" t="n">
        <x:f>MAX(0,MIN($G68,25)-MAX($F68,21)+1)*$D68/$E68</x:f>
        <x:v>0</x:v>
      </x:c>
      <x:c r="M68" s="39" t="n">
        <x:f>MAX(0,MIN($G68,30)-MAX($F68,26)+1)*$D68/$E68</x:f>
        <x:v>0</x:v>
      </x:c>
      <x:c r="N68" s="39" t="n">
        <x:f>MAX(0,MIN($G68,35)-MAX($F68,31)+1)*$D68/$E68</x:f>
        <x:v>0</x:v>
      </x:c>
      <x:c r="O68" s="39" t="n">
        <x:f>MAX(0,MIN($G68,40)-MAX($F68,36)+1)*$D68/$E68</x:f>
        <x:v>12</x:v>
      </x:c>
      <x:c r="P68" s="39" t="n">
        <x:f>MAX(0,MIN($G68,45)-MAX($F68,41)+1)*$D68/$E68</x:f>
        <x:v>6</x:v>
      </x:c>
      <x:c r="Q68" s="39" t="n">
        <x:f>MAX(0,MIN($G68,50)-MAX($F68,46)+1)*$D68/$E68</x:f>
        <x:v>0</x:v>
      </x:c>
      <x:c r="R68" s="39" t="n">
        <x:f>MAX(0,MIN($G68,55)-MAX($F68,51)+1)*$D68/$E68</x:f>
        <x:v>0</x:v>
      </x:c>
      <x:c r="S68" s="39" t="n">
        <x:f>MAX(0,MIN($G68,60)-MAX($F68,56)+1)*$D68/$E68</x:f>
        <x:v>0</x:v>
      </x:c>
      <x:c r="T68" s="39" t="n">
        <x:f>MAX(0,MIN($G68,65)-MAX($F68,61)+1)*$D68/$E68</x:f>
        <x:v>0</x:v>
      </x:c>
      <x:c r="U68" s="39" t="n">
        <x:f>MAX(0,MIN($G68,70)-MAX($F68,66)+1)*$D68/$E68</x:f>
        <x:v>0</x:v>
      </x:c>
      <x:c r="V68" s="39" t="n">
        <x:f>MAX(0,MIN($G68,75)-MAX($F68,71)+1)*$D68/$E68</x:f>
        <x:v>0</x:v>
      </x:c>
      <x:c r="W68" s="39" t="n">
        <x:f>MAX(0,MIN($G68,80)-MAX($F68,76)+1)*$D68/$E68</x:f>
        <x:v>0</x:v>
      </x:c>
      <x:c r="X68" s="39" t="n">
        <x:f>MAX(0,MIN($G68,85)-MAX($F68,81)+1)*$D68/$E68</x:f>
        <x:v>0</x:v>
      </x:c>
      <x:c r="Y68" s="39" t="n">
        <x:f>MAX(0,MIN($G68,90)-MAX($F68,86)+1)*$D68/$E68</x:f>
        <x:v>0</x:v>
      </x:c>
      <x:c r="Z68" s="39" t="n">
        <x:f>MAX(0,MIN($G68,95)-MAX($F68,91)+1)*$D68/$E68</x:f>
        <x:v>0</x:v>
      </x:c>
      <x:c r="AA68" s="39" t="n">
        <x:f>MAX(0,MIN($G68,100)-MAX($F68,96)+1)*$D68/$E68</x:f>
        <x:v>0</x:v>
      </x:c>
      <x:c r="AB68" s="39" t="n">
        <x:f>MAX(0,MIN($G68,105)-MAX($F68,101)+1)*$D68/$E68</x:f>
        <x:v>0</x:v>
      </x:c>
      <x:c r="AC68" s="39" t="n">
        <x:f>MAX(0,MIN($G68,110)-MAX($F68,106)+1)*$D68/$E68</x:f>
        <x:v>0</x:v>
      </x:c>
      <x:c r="AD68" s="39" t="n">
        <x:f>MAX(0,MIN($G68,115)-MAX($F68,111)+1)*$D68/$E68</x:f>
        <x:v>0</x:v>
      </x:c>
      <x:c r="AE68" s="39" t="n">
        <x:f>MAX(0,MIN($G68,120)-MAX($F68,116)+1)*$D68/$E68</x:f>
        <x:v>0</x:v>
      </x:c>
      <x:c r="AF68" s="39" t="n">
        <x:f>MAX(0,MIN($G68,125)-MAX($F68,121)+1)*$D68/$E68</x:f>
        <x:v>0</x:v>
      </x:c>
      <x:c r="AG68" s="39" t="n">
        <x:f>MAX(0,MIN($G68,130)-MAX($F68,126)+1)*$D68/$E68</x:f>
        <x:v>0</x:v>
      </x:c>
      <x:c r="AH68" s="39" t="n">
        <x:f>MAX(0,MIN($G68,135)-MAX($F68,131)+1)*$D68/$E68</x:f>
        <x:v>0</x:v>
      </x:c>
      <x:c r="AI68" s="39" t="n">
        <x:f>MAX(0,MIN($G68,140)-MAX($F68,136)+1)*$D68/$E68</x:f>
        <x:v>0</x:v>
      </x:c>
      <x:c r="AJ68" s="39" t="n">
        <x:f>MAX(0,MIN($G68,145)-MAX($F68,141)+1)*$D68/$E68</x:f>
        <x:v>0</x:v>
      </x:c>
      <x:c r="AK68" s="39" t="n">
        <x:f>MAX(0,MIN($G68,150)-MAX($F68,146)+1)*$D68/$E68</x:f>
        <x:v>0</x:v>
      </x:c>
      <x:c r="AL68" s="39" t="n">
        <x:f>MAX(0,MIN($G68,155)-MAX($F68,151)+1)*$D68/$E68</x:f>
        <x:v>0</x:v>
      </x:c>
      <x:c r="AM68" s="39" t="n">
        <x:f>MAX(0,MIN($G68,160)-MAX($F68,156)+1)*$D68/$E68</x:f>
        <x:v>0</x:v>
      </x:c>
      <x:c r="AN68" s="39" t="n">
        <x:f>MAX(0,MIN($G68,165)-MAX($F68,161)+1)*$D68/$E68</x:f>
        <x:v>0</x:v>
      </x:c>
      <x:c r="AO68" s="39" t="n">
        <x:f>MAX(0,MIN($G68,170)-MAX($F68,166)+1)*$D68/$E68</x:f>
        <x:v>0</x:v>
      </x:c>
      <x:c r="AP68" s="39" t="n">
        <x:f>MAX(0,MIN($G68,175)-MAX($F68,171)+1)*$D68/$E68</x:f>
        <x:v>0</x:v>
      </x:c>
      <x:c r="AQ68" s="39" t="n">
        <x:f>MAX(0,MIN($G68,180)-MAX($F68,176)+1)*$D68/$E68</x:f>
        <x:v>0</x:v>
      </x:c>
    </x:row>
    <x:row r="69" ht="27" customHeight="1">
      <x:c r="A69" s="9" t="str">
        <x:v>E01</x:v>
      </x:c>
      <x:c r="B69" s="9" t="str">
        <x:f>'Tasks'!P37</x:f>
        <x:v>KE</x:v>
      </x:c>
      <x:c r="C69" s="9" t="str">
        <x:v>Review</x:v>
      </x:c>
      <x:c r="D69" s="40" t="n">
        <x:f>'Tasks'!Q37</x:f>
        <x:v>5</x:v>
      </x:c>
      <x:c r="E69" s="40" t="n">
        <x:f>'Tasks'!F37</x:f>
        <x:v>3</x:v>
      </x:c>
      <x:c r="F69" s="40" t="n">
        <x:f>'Tasks'!K37</x:f>
        <x:v>39</x:v>
      </x:c>
      <x:c r="G69" s="40" t="n">
        <x:f>'Tasks'!L37</x:f>
        <x:v>41</x:v>
      </x:c>
      <x:c r="H69" s="40" t="n">
        <x:f>MAX(0,MIN($G69,5)-MAX($F69,1)+1)*$D69/$E69</x:f>
        <x:v>0</x:v>
      </x:c>
      <x:c r="I69" s="40" t="n">
        <x:f>MAX(0,MIN($G69,10)-MAX($F69,6)+1)*$D69/$E69</x:f>
        <x:v>0</x:v>
      </x:c>
      <x:c r="J69" s="40" t="n">
        <x:f>MAX(0,MIN($G69,15)-MAX($F69,11)+1)*$D69/$E69</x:f>
        <x:v>0</x:v>
      </x:c>
      <x:c r="K69" s="40" t="n">
        <x:f>MAX(0,MIN($G69,20)-MAX($F69,16)+1)*$D69/$E69</x:f>
        <x:v>0</x:v>
      </x:c>
      <x:c r="L69" s="40" t="n">
        <x:f>MAX(0,MIN($G69,25)-MAX($F69,21)+1)*$D69/$E69</x:f>
        <x:v>0</x:v>
      </x:c>
      <x:c r="M69" s="40" t="n">
        <x:f>MAX(0,MIN($G69,30)-MAX($F69,26)+1)*$D69/$E69</x:f>
        <x:v>0</x:v>
      </x:c>
      <x:c r="N69" s="40" t="n">
        <x:f>MAX(0,MIN($G69,35)-MAX($F69,31)+1)*$D69/$E69</x:f>
        <x:v>0</x:v>
      </x:c>
      <x:c r="O69" s="40" t="n">
        <x:f>MAX(0,MIN($G69,40)-MAX($F69,36)+1)*$D69/$E69</x:f>
        <x:v>3.3333333333333335</x:v>
      </x:c>
      <x:c r="P69" s="40" t="n">
        <x:f>MAX(0,MIN($G69,45)-MAX($F69,41)+1)*$D69/$E69</x:f>
        <x:v>1.6666666666666667</x:v>
      </x:c>
      <x:c r="Q69" s="40" t="n">
        <x:f>MAX(0,MIN($G69,50)-MAX($F69,46)+1)*$D69/$E69</x:f>
        <x:v>0</x:v>
      </x:c>
      <x:c r="R69" s="40" t="n">
        <x:f>MAX(0,MIN($G69,55)-MAX($F69,51)+1)*$D69/$E69</x:f>
        <x:v>0</x:v>
      </x:c>
      <x:c r="S69" s="40" t="n">
        <x:f>MAX(0,MIN($G69,60)-MAX($F69,56)+1)*$D69/$E69</x:f>
        <x:v>0</x:v>
      </x:c>
      <x:c r="T69" s="40" t="n">
        <x:f>MAX(0,MIN($G69,65)-MAX($F69,61)+1)*$D69/$E69</x:f>
        <x:v>0</x:v>
      </x:c>
      <x:c r="U69" s="40" t="n">
        <x:f>MAX(0,MIN($G69,70)-MAX($F69,66)+1)*$D69/$E69</x:f>
        <x:v>0</x:v>
      </x:c>
      <x:c r="V69" s="40" t="n">
        <x:f>MAX(0,MIN($G69,75)-MAX($F69,71)+1)*$D69/$E69</x:f>
        <x:v>0</x:v>
      </x:c>
      <x:c r="W69" s="40" t="n">
        <x:f>MAX(0,MIN($G69,80)-MAX($F69,76)+1)*$D69/$E69</x:f>
        <x:v>0</x:v>
      </x:c>
      <x:c r="X69" s="40" t="n">
        <x:f>MAX(0,MIN($G69,85)-MAX($F69,81)+1)*$D69/$E69</x:f>
        <x:v>0</x:v>
      </x:c>
      <x:c r="Y69" s="40" t="n">
        <x:f>MAX(0,MIN($G69,90)-MAX($F69,86)+1)*$D69/$E69</x:f>
        <x:v>0</x:v>
      </x:c>
      <x:c r="Z69" s="40" t="n">
        <x:f>MAX(0,MIN($G69,95)-MAX($F69,91)+1)*$D69/$E69</x:f>
        <x:v>0</x:v>
      </x:c>
      <x:c r="AA69" s="40" t="n">
        <x:f>MAX(0,MIN($G69,100)-MAX($F69,96)+1)*$D69/$E69</x:f>
        <x:v>0</x:v>
      </x:c>
      <x:c r="AB69" s="40" t="n">
        <x:f>MAX(0,MIN($G69,105)-MAX($F69,101)+1)*$D69/$E69</x:f>
        <x:v>0</x:v>
      </x:c>
      <x:c r="AC69" s="40" t="n">
        <x:f>MAX(0,MIN($G69,110)-MAX($F69,106)+1)*$D69/$E69</x:f>
        <x:v>0</x:v>
      </x:c>
      <x:c r="AD69" s="40" t="n">
        <x:f>MAX(0,MIN($G69,115)-MAX($F69,111)+1)*$D69/$E69</x:f>
        <x:v>0</x:v>
      </x:c>
      <x:c r="AE69" s="40" t="n">
        <x:f>MAX(0,MIN($G69,120)-MAX($F69,116)+1)*$D69/$E69</x:f>
        <x:v>0</x:v>
      </x:c>
      <x:c r="AF69" s="40" t="n">
        <x:f>MAX(0,MIN($G69,125)-MAX($F69,121)+1)*$D69/$E69</x:f>
        <x:v>0</x:v>
      </x:c>
      <x:c r="AG69" s="40" t="n">
        <x:f>MAX(0,MIN($G69,130)-MAX($F69,126)+1)*$D69/$E69</x:f>
        <x:v>0</x:v>
      </x:c>
      <x:c r="AH69" s="40" t="n">
        <x:f>MAX(0,MIN($G69,135)-MAX($F69,131)+1)*$D69/$E69</x:f>
        <x:v>0</x:v>
      </x:c>
      <x:c r="AI69" s="40" t="n">
        <x:f>MAX(0,MIN($G69,140)-MAX($F69,136)+1)*$D69/$E69</x:f>
        <x:v>0</x:v>
      </x:c>
      <x:c r="AJ69" s="40" t="n">
        <x:f>MAX(0,MIN($G69,145)-MAX($F69,141)+1)*$D69/$E69</x:f>
        <x:v>0</x:v>
      </x:c>
      <x:c r="AK69" s="40" t="n">
        <x:f>MAX(0,MIN($G69,150)-MAX($F69,146)+1)*$D69/$E69</x:f>
        <x:v>0</x:v>
      </x:c>
      <x:c r="AL69" s="40" t="n">
        <x:f>MAX(0,MIN($G69,155)-MAX($F69,151)+1)*$D69/$E69</x:f>
        <x:v>0</x:v>
      </x:c>
      <x:c r="AM69" s="40" t="n">
        <x:f>MAX(0,MIN($G69,160)-MAX($F69,156)+1)*$D69/$E69</x:f>
        <x:v>0</x:v>
      </x:c>
      <x:c r="AN69" s="40" t="n">
        <x:f>MAX(0,MIN($G69,165)-MAX($F69,161)+1)*$D69/$E69</x:f>
        <x:v>0</x:v>
      </x:c>
      <x:c r="AO69" s="40" t="n">
        <x:f>MAX(0,MIN($G69,170)-MAX($F69,166)+1)*$D69/$E69</x:f>
        <x:v>0</x:v>
      </x:c>
      <x:c r="AP69" s="40" t="n">
        <x:f>MAX(0,MIN($G69,175)-MAX($F69,171)+1)*$D69/$E69</x:f>
        <x:v>0</x:v>
      </x:c>
      <x:c r="AQ69" s="40" t="n">
        <x:f>MAX(0,MIN($G69,180)-MAX($F69,176)+1)*$D69/$E69</x:f>
        <x:v>0</x:v>
      </x:c>
    </x:row>
    <x:row r="70" ht="27" customHeight="1">
      <x:c r="A70" s="10" t="str">
        <x:v>E02</x:v>
      </x:c>
      <x:c r="B70" s="10" t="str">
        <x:f>'Tasks'!D38</x:f>
        <x:v>AI</x:v>
      </x:c>
      <x:c r="C70" s="10" t="str">
        <x:v>Owner</x:v>
      </x:c>
      <x:c r="D70" s="39" t="n">
        <x:f>'Tasks'!O38</x:f>
        <x:v>18</x:v>
      </x:c>
      <x:c r="E70" s="39" t="n">
        <x:f>'Tasks'!F38</x:f>
        <x:v>3</x:v>
      </x:c>
      <x:c r="F70" s="39" t="n">
        <x:f>'Tasks'!K38</x:f>
        <x:v>42</x:v>
      </x:c>
      <x:c r="G70" s="39" t="n">
        <x:f>'Tasks'!L38</x:f>
        <x:v>44</x:v>
      </x:c>
      <x:c r="H70" s="39" t="n">
        <x:f>MAX(0,MIN($G70,5)-MAX($F70,1)+1)*$D70/$E70</x:f>
        <x:v>0</x:v>
      </x:c>
      <x:c r="I70" s="39" t="n">
        <x:f>MAX(0,MIN($G70,10)-MAX($F70,6)+1)*$D70/$E70</x:f>
        <x:v>0</x:v>
      </x:c>
      <x:c r="J70" s="39" t="n">
        <x:f>MAX(0,MIN($G70,15)-MAX($F70,11)+1)*$D70/$E70</x:f>
        <x:v>0</x:v>
      </x:c>
      <x:c r="K70" s="39" t="n">
        <x:f>MAX(0,MIN($G70,20)-MAX($F70,16)+1)*$D70/$E70</x:f>
        <x:v>0</x:v>
      </x:c>
      <x:c r="L70" s="39" t="n">
        <x:f>MAX(0,MIN($G70,25)-MAX($F70,21)+1)*$D70/$E70</x:f>
        <x:v>0</x:v>
      </x:c>
      <x:c r="M70" s="39" t="n">
        <x:f>MAX(0,MIN($G70,30)-MAX($F70,26)+1)*$D70/$E70</x:f>
        <x:v>0</x:v>
      </x:c>
      <x:c r="N70" s="39" t="n">
        <x:f>MAX(0,MIN($G70,35)-MAX($F70,31)+1)*$D70/$E70</x:f>
        <x:v>0</x:v>
      </x:c>
      <x:c r="O70" s="39" t="n">
        <x:f>MAX(0,MIN($G70,40)-MAX($F70,36)+1)*$D70/$E70</x:f>
        <x:v>0</x:v>
      </x:c>
      <x:c r="P70" s="39" t="n">
        <x:f>MAX(0,MIN($G70,45)-MAX($F70,41)+1)*$D70/$E70</x:f>
        <x:v>18</x:v>
      </x:c>
      <x:c r="Q70" s="39" t="n">
        <x:f>MAX(0,MIN($G70,50)-MAX($F70,46)+1)*$D70/$E70</x:f>
        <x:v>0</x:v>
      </x:c>
      <x:c r="R70" s="39" t="n">
        <x:f>MAX(0,MIN($G70,55)-MAX($F70,51)+1)*$D70/$E70</x:f>
        <x:v>0</x:v>
      </x:c>
      <x:c r="S70" s="39" t="n">
        <x:f>MAX(0,MIN($G70,60)-MAX($F70,56)+1)*$D70/$E70</x:f>
        <x:v>0</x:v>
      </x:c>
      <x:c r="T70" s="39" t="n">
        <x:f>MAX(0,MIN($G70,65)-MAX($F70,61)+1)*$D70/$E70</x:f>
        <x:v>0</x:v>
      </x:c>
      <x:c r="U70" s="39" t="n">
        <x:f>MAX(0,MIN($G70,70)-MAX($F70,66)+1)*$D70/$E70</x:f>
        <x:v>0</x:v>
      </x:c>
      <x:c r="V70" s="39" t="n">
        <x:f>MAX(0,MIN($G70,75)-MAX($F70,71)+1)*$D70/$E70</x:f>
        <x:v>0</x:v>
      </x:c>
      <x:c r="W70" s="39" t="n">
        <x:f>MAX(0,MIN($G70,80)-MAX($F70,76)+1)*$D70/$E70</x:f>
        <x:v>0</x:v>
      </x:c>
      <x:c r="X70" s="39" t="n">
        <x:f>MAX(0,MIN($G70,85)-MAX($F70,81)+1)*$D70/$E70</x:f>
        <x:v>0</x:v>
      </x:c>
      <x:c r="Y70" s="39" t="n">
        <x:f>MAX(0,MIN($G70,90)-MAX($F70,86)+1)*$D70/$E70</x:f>
        <x:v>0</x:v>
      </x:c>
      <x:c r="Z70" s="39" t="n">
        <x:f>MAX(0,MIN($G70,95)-MAX($F70,91)+1)*$D70/$E70</x:f>
        <x:v>0</x:v>
      </x:c>
      <x:c r="AA70" s="39" t="n">
        <x:f>MAX(0,MIN($G70,100)-MAX($F70,96)+1)*$D70/$E70</x:f>
        <x:v>0</x:v>
      </x:c>
      <x:c r="AB70" s="39" t="n">
        <x:f>MAX(0,MIN($G70,105)-MAX($F70,101)+1)*$D70/$E70</x:f>
        <x:v>0</x:v>
      </x:c>
      <x:c r="AC70" s="39" t="n">
        <x:f>MAX(0,MIN($G70,110)-MAX($F70,106)+1)*$D70/$E70</x:f>
        <x:v>0</x:v>
      </x:c>
      <x:c r="AD70" s="39" t="n">
        <x:f>MAX(0,MIN($G70,115)-MAX($F70,111)+1)*$D70/$E70</x:f>
        <x:v>0</x:v>
      </x:c>
      <x:c r="AE70" s="39" t="n">
        <x:f>MAX(0,MIN($G70,120)-MAX($F70,116)+1)*$D70/$E70</x:f>
        <x:v>0</x:v>
      </x:c>
      <x:c r="AF70" s="39" t="n">
        <x:f>MAX(0,MIN($G70,125)-MAX($F70,121)+1)*$D70/$E70</x:f>
        <x:v>0</x:v>
      </x:c>
      <x:c r="AG70" s="39" t="n">
        <x:f>MAX(0,MIN($G70,130)-MAX($F70,126)+1)*$D70/$E70</x:f>
        <x:v>0</x:v>
      </x:c>
      <x:c r="AH70" s="39" t="n">
        <x:f>MAX(0,MIN($G70,135)-MAX($F70,131)+1)*$D70/$E70</x:f>
        <x:v>0</x:v>
      </x:c>
      <x:c r="AI70" s="39" t="n">
        <x:f>MAX(0,MIN($G70,140)-MAX($F70,136)+1)*$D70/$E70</x:f>
        <x:v>0</x:v>
      </x:c>
      <x:c r="AJ70" s="39" t="n">
        <x:f>MAX(0,MIN($G70,145)-MAX($F70,141)+1)*$D70/$E70</x:f>
        <x:v>0</x:v>
      </x:c>
      <x:c r="AK70" s="39" t="n">
        <x:f>MAX(0,MIN($G70,150)-MAX($F70,146)+1)*$D70/$E70</x:f>
        <x:v>0</x:v>
      </x:c>
      <x:c r="AL70" s="39" t="n">
        <x:f>MAX(0,MIN($G70,155)-MAX($F70,151)+1)*$D70/$E70</x:f>
        <x:v>0</x:v>
      </x:c>
      <x:c r="AM70" s="39" t="n">
        <x:f>MAX(0,MIN($G70,160)-MAX($F70,156)+1)*$D70/$E70</x:f>
        <x:v>0</x:v>
      </x:c>
      <x:c r="AN70" s="39" t="n">
        <x:f>MAX(0,MIN($G70,165)-MAX($F70,161)+1)*$D70/$E70</x:f>
        <x:v>0</x:v>
      </x:c>
      <x:c r="AO70" s="39" t="n">
        <x:f>MAX(0,MIN($G70,170)-MAX($F70,166)+1)*$D70/$E70</x:f>
        <x:v>0</x:v>
      </x:c>
      <x:c r="AP70" s="39" t="n">
        <x:f>MAX(0,MIN($G70,175)-MAX($F70,171)+1)*$D70/$E70</x:f>
        <x:v>0</x:v>
      </x:c>
      <x:c r="AQ70" s="39" t="n">
        <x:f>MAX(0,MIN($G70,180)-MAX($F70,176)+1)*$D70/$E70</x:f>
        <x:v>0</x:v>
      </x:c>
    </x:row>
    <x:row r="71" ht="27" customHeight="1">
      <x:c r="A71" s="9" t="str">
        <x:v>E02</x:v>
      </x:c>
      <x:c r="B71" s="9" t="str">
        <x:f>'Tasks'!P38</x:f>
        <x:v>SEC</x:v>
      </x:c>
      <x:c r="C71" s="9" t="str">
        <x:v>Review</x:v>
      </x:c>
      <x:c r="D71" s="40" t="n">
        <x:f>'Tasks'!Q38</x:f>
        <x:v>5</x:v>
      </x:c>
      <x:c r="E71" s="40" t="n">
        <x:f>'Tasks'!F38</x:f>
        <x:v>3</x:v>
      </x:c>
      <x:c r="F71" s="40" t="n">
        <x:f>'Tasks'!K38</x:f>
        <x:v>42</x:v>
      </x:c>
      <x:c r="G71" s="40" t="n">
        <x:f>'Tasks'!L38</x:f>
        <x:v>44</x:v>
      </x:c>
      <x:c r="H71" s="40" t="n">
        <x:f>MAX(0,MIN($G71,5)-MAX($F71,1)+1)*$D71/$E71</x:f>
        <x:v>0</x:v>
      </x:c>
      <x:c r="I71" s="40" t="n">
        <x:f>MAX(0,MIN($G71,10)-MAX($F71,6)+1)*$D71/$E71</x:f>
        <x:v>0</x:v>
      </x:c>
      <x:c r="J71" s="40" t="n">
        <x:f>MAX(0,MIN($G71,15)-MAX($F71,11)+1)*$D71/$E71</x:f>
        <x:v>0</x:v>
      </x:c>
      <x:c r="K71" s="40" t="n">
        <x:f>MAX(0,MIN($G71,20)-MAX($F71,16)+1)*$D71/$E71</x:f>
        <x:v>0</x:v>
      </x:c>
      <x:c r="L71" s="40" t="n">
        <x:f>MAX(0,MIN($G71,25)-MAX($F71,21)+1)*$D71/$E71</x:f>
        <x:v>0</x:v>
      </x:c>
      <x:c r="M71" s="40" t="n">
        <x:f>MAX(0,MIN($G71,30)-MAX($F71,26)+1)*$D71/$E71</x:f>
        <x:v>0</x:v>
      </x:c>
      <x:c r="N71" s="40" t="n">
        <x:f>MAX(0,MIN($G71,35)-MAX($F71,31)+1)*$D71/$E71</x:f>
        <x:v>0</x:v>
      </x:c>
      <x:c r="O71" s="40" t="n">
        <x:f>MAX(0,MIN($G71,40)-MAX($F71,36)+1)*$D71/$E71</x:f>
        <x:v>0</x:v>
      </x:c>
      <x:c r="P71" s="40" t="n">
        <x:f>MAX(0,MIN($G71,45)-MAX($F71,41)+1)*$D71/$E71</x:f>
        <x:v>5</x:v>
      </x:c>
      <x:c r="Q71" s="40" t="n">
        <x:f>MAX(0,MIN($G71,50)-MAX($F71,46)+1)*$D71/$E71</x:f>
        <x:v>0</x:v>
      </x:c>
      <x:c r="R71" s="40" t="n">
        <x:f>MAX(0,MIN($G71,55)-MAX($F71,51)+1)*$D71/$E71</x:f>
        <x:v>0</x:v>
      </x:c>
      <x:c r="S71" s="40" t="n">
        <x:f>MAX(0,MIN($G71,60)-MAX($F71,56)+1)*$D71/$E71</x:f>
        <x:v>0</x:v>
      </x:c>
      <x:c r="T71" s="40" t="n">
        <x:f>MAX(0,MIN($G71,65)-MAX($F71,61)+1)*$D71/$E71</x:f>
        <x:v>0</x:v>
      </x:c>
      <x:c r="U71" s="40" t="n">
        <x:f>MAX(0,MIN($G71,70)-MAX($F71,66)+1)*$D71/$E71</x:f>
        <x:v>0</x:v>
      </x:c>
      <x:c r="V71" s="40" t="n">
        <x:f>MAX(0,MIN($G71,75)-MAX($F71,71)+1)*$D71/$E71</x:f>
        <x:v>0</x:v>
      </x:c>
      <x:c r="W71" s="40" t="n">
        <x:f>MAX(0,MIN($G71,80)-MAX($F71,76)+1)*$D71/$E71</x:f>
        <x:v>0</x:v>
      </x:c>
      <x:c r="X71" s="40" t="n">
        <x:f>MAX(0,MIN($G71,85)-MAX($F71,81)+1)*$D71/$E71</x:f>
        <x:v>0</x:v>
      </x:c>
      <x:c r="Y71" s="40" t="n">
        <x:f>MAX(0,MIN($G71,90)-MAX($F71,86)+1)*$D71/$E71</x:f>
        <x:v>0</x:v>
      </x:c>
      <x:c r="Z71" s="40" t="n">
        <x:f>MAX(0,MIN($G71,95)-MAX($F71,91)+1)*$D71/$E71</x:f>
        <x:v>0</x:v>
      </x:c>
      <x:c r="AA71" s="40" t="n">
        <x:f>MAX(0,MIN($G71,100)-MAX($F71,96)+1)*$D71/$E71</x:f>
        <x:v>0</x:v>
      </x:c>
      <x:c r="AB71" s="40" t="n">
        <x:f>MAX(0,MIN($G71,105)-MAX($F71,101)+1)*$D71/$E71</x:f>
        <x:v>0</x:v>
      </x:c>
      <x:c r="AC71" s="40" t="n">
        <x:f>MAX(0,MIN($G71,110)-MAX($F71,106)+1)*$D71/$E71</x:f>
        <x:v>0</x:v>
      </x:c>
      <x:c r="AD71" s="40" t="n">
        <x:f>MAX(0,MIN($G71,115)-MAX($F71,111)+1)*$D71/$E71</x:f>
        <x:v>0</x:v>
      </x:c>
      <x:c r="AE71" s="40" t="n">
        <x:f>MAX(0,MIN($G71,120)-MAX($F71,116)+1)*$D71/$E71</x:f>
        <x:v>0</x:v>
      </x:c>
      <x:c r="AF71" s="40" t="n">
        <x:f>MAX(0,MIN($G71,125)-MAX($F71,121)+1)*$D71/$E71</x:f>
        <x:v>0</x:v>
      </x:c>
      <x:c r="AG71" s="40" t="n">
        <x:f>MAX(0,MIN($G71,130)-MAX($F71,126)+1)*$D71/$E71</x:f>
        <x:v>0</x:v>
      </x:c>
      <x:c r="AH71" s="40" t="n">
        <x:f>MAX(0,MIN($G71,135)-MAX($F71,131)+1)*$D71/$E71</x:f>
        <x:v>0</x:v>
      </x:c>
      <x:c r="AI71" s="40" t="n">
        <x:f>MAX(0,MIN($G71,140)-MAX($F71,136)+1)*$D71/$E71</x:f>
        <x:v>0</x:v>
      </x:c>
      <x:c r="AJ71" s="40" t="n">
        <x:f>MAX(0,MIN($G71,145)-MAX($F71,141)+1)*$D71/$E71</x:f>
        <x:v>0</x:v>
      </x:c>
      <x:c r="AK71" s="40" t="n">
        <x:f>MAX(0,MIN($G71,150)-MAX($F71,146)+1)*$D71/$E71</x:f>
        <x:v>0</x:v>
      </x:c>
      <x:c r="AL71" s="40" t="n">
        <x:f>MAX(0,MIN($G71,155)-MAX($F71,151)+1)*$D71/$E71</x:f>
        <x:v>0</x:v>
      </x:c>
      <x:c r="AM71" s="40" t="n">
        <x:f>MAX(0,MIN($G71,160)-MAX($F71,156)+1)*$D71/$E71</x:f>
        <x:v>0</x:v>
      </x:c>
      <x:c r="AN71" s="40" t="n">
        <x:f>MAX(0,MIN($G71,165)-MAX($F71,161)+1)*$D71/$E71</x:f>
        <x:v>0</x:v>
      </x:c>
      <x:c r="AO71" s="40" t="n">
        <x:f>MAX(0,MIN($G71,170)-MAX($F71,166)+1)*$D71/$E71</x:f>
        <x:v>0</x:v>
      </x:c>
      <x:c r="AP71" s="40" t="n">
        <x:f>MAX(0,MIN($G71,175)-MAX($F71,171)+1)*$D71/$E71</x:f>
        <x:v>0</x:v>
      </x:c>
      <x:c r="AQ71" s="40" t="n">
        <x:f>MAX(0,MIN($G71,180)-MAX($F71,176)+1)*$D71/$E71</x:f>
        <x:v>0</x:v>
      </x:c>
    </x:row>
    <x:row r="72" ht="27" customHeight="1">
      <x:c r="A72" s="10" t="str">
        <x:v>E03</x:v>
      </x:c>
      <x:c r="B72" s="10" t="str">
        <x:f>'Tasks'!D39</x:f>
        <x:v>PAE</x:v>
      </x:c>
      <x:c r="C72" s="10" t="str">
        <x:v>Owner</x:v>
      </x:c>
      <x:c r="D72" s="39" t="n">
        <x:f>'Tasks'!O39</x:f>
        <x:v>40</x:v>
      </x:c>
      <x:c r="E72" s="39" t="n">
        <x:f>'Tasks'!F39</x:f>
        <x:v>8</x:v>
      </x:c>
      <x:c r="F72" s="39" t="n">
        <x:f>'Tasks'!K39</x:f>
        <x:v>18</x:v>
      </x:c>
      <x:c r="G72" s="39" t="n">
        <x:f>'Tasks'!L39</x:f>
        <x:v>25</x:v>
      </x:c>
      <x:c r="H72" s="39" t="n">
        <x:f>MAX(0,MIN($G72,5)-MAX($F72,1)+1)*$D72/$E72</x:f>
        <x:v>0</x:v>
      </x:c>
      <x:c r="I72" s="39" t="n">
        <x:f>MAX(0,MIN($G72,10)-MAX($F72,6)+1)*$D72/$E72</x:f>
        <x:v>0</x:v>
      </x:c>
      <x:c r="J72" s="39" t="n">
        <x:f>MAX(0,MIN($G72,15)-MAX($F72,11)+1)*$D72/$E72</x:f>
        <x:v>0</x:v>
      </x:c>
      <x:c r="K72" s="39" t="n">
        <x:f>MAX(0,MIN($G72,20)-MAX($F72,16)+1)*$D72/$E72</x:f>
        <x:v>15</x:v>
      </x:c>
      <x:c r="L72" s="39" t="n">
        <x:f>MAX(0,MIN($G72,25)-MAX($F72,21)+1)*$D72/$E72</x:f>
        <x:v>25</x:v>
      </x:c>
      <x:c r="M72" s="39" t="n">
        <x:f>MAX(0,MIN($G72,30)-MAX($F72,26)+1)*$D72/$E72</x:f>
        <x:v>0</x:v>
      </x:c>
      <x:c r="N72" s="39" t="n">
        <x:f>MAX(0,MIN($G72,35)-MAX($F72,31)+1)*$D72/$E72</x:f>
        <x:v>0</x:v>
      </x:c>
      <x:c r="O72" s="39" t="n">
        <x:f>MAX(0,MIN($G72,40)-MAX($F72,36)+1)*$D72/$E72</x:f>
        <x:v>0</x:v>
      </x:c>
      <x:c r="P72" s="39" t="n">
        <x:f>MAX(0,MIN($G72,45)-MAX($F72,41)+1)*$D72/$E72</x:f>
        <x:v>0</x:v>
      </x:c>
      <x:c r="Q72" s="39" t="n">
        <x:f>MAX(0,MIN($G72,50)-MAX($F72,46)+1)*$D72/$E72</x:f>
        <x:v>0</x:v>
      </x:c>
      <x:c r="R72" s="39" t="n">
        <x:f>MAX(0,MIN($G72,55)-MAX($F72,51)+1)*$D72/$E72</x:f>
        <x:v>0</x:v>
      </x:c>
      <x:c r="S72" s="39" t="n">
        <x:f>MAX(0,MIN($G72,60)-MAX($F72,56)+1)*$D72/$E72</x:f>
        <x:v>0</x:v>
      </x:c>
      <x:c r="T72" s="39" t="n">
        <x:f>MAX(0,MIN($G72,65)-MAX($F72,61)+1)*$D72/$E72</x:f>
        <x:v>0</x:v>
      </x:c>
      <x:c r="U72" s="39" t="n">
        <x:f>MAX(0,MIN($G72,70)-MAX($F72,66)+1)*$D72/$E72</x:f>
        <x:v>0</x:v>
      </x:c>
      <x:c r="V72" s="39" t="n">
        <x:f>MAX(0,MIN($G72,75)-MAX($F72,71)+1)*$D72/$E72</x:f>
        <x:v>0</x:v>
      </x:c>
      <x:c r="W72" s="39" t="n">
        <x:f>MAX(0,MIN($G72,80)-MAX($F72,76)+1)*$D72/$E72</x:f>
        <x:v>0</x:v>
      </x:c>
      <x:c r="X72" s="39" t="n">
        <x:f>MAX(0,MIN($G72,85)-MAX($F72,81)+1)*$D72/$E72</x:f>
        <x:v>0</x:v>
      </x:c>
      <x:c r="Y72" s="39" t="n">
        <x:f>MAX(0,MIN($G72,90)-MAX($F72,86)+1)*$D72/$E72</x:f>
        <x:v>0</x:v>
      </x:c>
      <x:c r="Z72" s="39" t="n">
        <x:f>MAX(0,MIN($G72,95)-MAX($F72,91)+1)*$D72/$E72</x:f>
        <x:v>0</x:v>
      </x:c>
      <x:c r="AA72" s="39" t="n">
        <x:f>MAX(0,MIN($G72,100)-MAX($F72,96)+1)*$D72/$E72</x:f>
        <x:v>0</x:v>
      </x:c>
      <x:c r="AB72" s="39" t="n">
        <x:f>MAX(0,MIN($G72,105)-MAX($F72,101)+1)*$D72/$E72</x:f>
        <x:v>0</x:v>
      </x:c>
      <x:c r="AC72" s="39" t="n">
        <x:f>MAX(0,MIN($G72,110)-MAX($F72,106)+1)*$D72/$E72</x:f>
        <x:v>0</x:v>
      </x:c>
      <x:c r="AD72" s="39" t="n">
        <x:f>MAX(0,MIN($G72,115)-MAX($F72,111)+1)*$D72/$E72</x:f>
        <x:v>0</x:v>
      </x:c>
      <x:c r="AE72" s="39" t="n">
        <x:f>MAX(0,MIN($G72,120)-MAX($F72,116)+1)*$D72/$E72</x:f>
        <x:v>0</x:v>
      </x:c>
      <x:c r="AF72" s="39" t="n">
        <x:f>MAX(0,MIN($G72,125)-MAX($F72,121)+1)*$D72/$E72</x:f>
        <x:v>0</x:v>
      </x:c>
      <x:c r="AG72" s="39" t="n">
        <x:f>MAX(0,MIN($G72,130)-MAX($F72,126)+1)*$D72/$E72</x:f>
        <x:v>0</x:v>
      </x:c>
      <x:c r="AH72" s="39" t="n">
        <x:f>MAX(0,MIN($G72,135)-MAX($F72,131)+1)*$D72/$E72</x:f>
        <x:v>0</x:v>
      </x:c>
      <x:c r="AI72" s="39" t="n">
        <x:f>MAX(0,MIN($G72,140)-MAX($F72,136)+1)*$D72/$E72</x:f>
        <x:v>0</x:v>
      </x:c>
      <x:c r="AJ72" s="39" t="n">
        <x:f>MAX(0,MIN($G72,145)-MAX($F72,141)+1)*$D72/$E72</x:f>
        <x:v>0</x:v>
      </x:c>
      <x:c r="AK72" s="39" t="n">
        <x:f>MAX(0,MIN($G72,150)-MAX($F72,146)+1)*$D72/$E72</x:f>
        <x:v>0</x:v>
      </x:c>
      <x:c r="AL72" s="39" t="n">
        <x:f>MAX(0,MIN($G72,155)-MAX($F72,151)+1)*$D72/$E72</x:f>
        <x:v>0</x:v>
      </x:c>
      <x:c r="AM72" s="39" t="n">
        <x:f>MAX(0,MIN($G72,160)-MAX($F72,156)+1)*$D72/$E72</x:f>
        <x:v>0</x:v>
      </x:c>
      <x:c r="AN72" s="39" t="n">
        <x:f>MAX(0,MIN($G72,165)-MAX($F72,161)+1)*$D72/$E72</x:f>
        <x:v>0</x:v>
      </x:c>
      <x:c r="AO72" s="39" t="n">
        <x:f>MAX(0,MIN($G72,170)-MAX($F72,166)+1)*$D72/$E72</x:f>
        <x:v>0</x:v>
      </x:c>
      <x:c r="AP72" s="39" t="n">
        <x:f>MAX(0,MIN($G72,175)-MAX($F72,171)+1)*$D72/$E72</x:f>
        <x:v>0</x:v>
      </x:c>
      <x:c r="AQ72" s="39" t="n">
        <x:f>MAX(0,MIN($G72,180)-MAX($F72,176)+1)*$D72/$E72</x:f>
        <x:v>0</x:v>
      </x:c>
    </x:row>
    <x:row r="73" ht="27" customHeight="1">
      <x:c r="A73" s="9" t="str">
        <x:v>E03</x:v>
      </x:c>
      <x:c r="B73" s="9" t="str">
        <x:f>'Tasks'!P39</x:f>
        <x:v>EXP</x:v>
      </x:c>
      <x:c r="C73" s="9" t="str">
        <x:v>Review</x:v>
      </x:c>
      <x:c r="D73" s="40" t="n">
        <x:f>'Tasks'!Q39</x:f>
        <x:v>16</x:v>
      </x:c>
      <x:c r="E73" s="40" t="n">
        <x:f>'Tasks'!F39</x:f>
        <x:v>8</x:v>
      </x:c>
      <x:c r="F73" s="40" t="n">
        <x:f>'Tasks'!K39</x:f>
        <x:v>18</x:v>
      </x:c>
      <x:c r="G73" s="40" t="n">
        <x:f>'Tasks'!L39</x:f>
        <x:v>25</x:v>
      </x:c>
      <x:c r="H73" s="40" t="n">
        <x:f>MAX(0,MIN($G73,5)-MAX($F73,1)+1)*$D73/$E73</x:f>
        <x:v>0</x:v>
      </x:c>
      <x:c r="I73" s="40" t="n">
        <x:f>MAX(0,MIN($G73,10)-MAX($F73,6)+1)*$D73/$E73</x:f>
        <x:v>0</x:v>
      </x:c>
      <x:c r="J73" s="40" t="n">
        <x:f>MAX(0,MIN($G73,15)-MAX($F73,11)+1)*$D73/$E73</x:f>
        <x:v>0</x:v>
      </x:c>
      <x:c r="K73" s="40" t="n">
        <x:f>MAX(0,MIN($G73,20)-MAX($F73,16)+1)*$D73/$E73</x:f>
        <x:v>6</x:v>
      </x:c>
      <x:c r="L73" s="40" t="n">
        <x:f>MAX(0,MIN($G73,25)-MAX($F73,21)+1)*$D73/$E73</x:f>
        <x:v>10</x:v>
      </x:c>
      <x:c r="M73" s="40" t="n">
        <x:f>MAX(0,MIN($G73,30)-MAX($F73,26)+1)*$D73/$E73</x:f>
        <x:v>0</x:v>
      </x:c>
      <x:c r="N73" s="40" t="n">
        <x:f>MAX(0,MIN($G73,35)-MAX($F73,31)+1)*$D73/$E73</x:f>
        <x:v>0</x:v>
      </x:c>
      <x:c r="O73" s="40" t="n">
        <x:f>MAX(0,MIN($G73,40)-MAX($F73,36)+1)*$D73/$E73</x:f>
        <x:v>0</x:v>
      </x:c>
      <x:c r="P73" s="40" t="n">
        <x:f>MAX(0,MIN($G73,45)-MAX($F73,41)+1)*$D73/$E73</x:f>
        <x:v>0</x:v>
      </x:c>
      <x:c r="Q73" s="40" t="n">
        <x:f>MAX(0,MIN($G73,50)-MAX($F73,46)+1)*$D73/$E73</x:f>
        <x:v>0</x:v>
      </x:c>
      <x:c r="R73" s="40" t="n">
        <x:f>MAX(0,MIN($G73,55)-MAX($F73,51)+1)*$D73/$E73</x:f>
        <x:v>0</x:v>
      </x:c>
      <x:c r="S73" s="40" t="n">
        <x:f>MAX(0,MIN($G73,60)-MAX($F73,56)+1)*$D73/$E73</x:f>
        <x:v>0</x:v>
      </x:c>
      <x:c r="T73" s="40" t="n">
        <x:f>MAX(0,MIN($G73,65)-MAX($F73,61)+1)*$D73/$E73</x:f>
        <x:v>0</x:v>
      </x:c>
      <x:c r="U73" s="40" t="n">
        <x:f>MAX(0,MIN($G73,70)-MAX($F73,66)+1)*$D73/$E73</x:f>
        <x:v>0</x:v>
      </x:c>
      <x:c r="V73" s="40" t="n">
        <x:f>MAX(0,MIN($G73,75)-MAX($F73,71)+1)*$D73/$E73</x:f>
        <x:v>0</x:v>
      </x:c>
      <x:c r="W73" s="40" t="n">
        <x:f>MAX(0,MIN($G73,80)-MAX($F73,76)+1)*$D73/$E73</x:f>
        <x:v>0</x:v>
      </x:c>
      <x:c r="X73" s="40" t="n">
        <x:f>MAX(0,MIN($G73,85)-MAX($F73,81)+1)*$D73/$E73</x:f>
        <x:v>0</x:v>
      </x:c>
      <x:c r="Y73" s="40" t="n">
        <x:f>MAX(0,MIN($G73,90)-MAX($F73,86)+1)*$D73/$E73</x:f>
        <x:v>0</x:v>
      </x:c>
      <x:c r="Z73" s="40" t="n">
        <x:f>MAX(0,MIN($G73,95)-MAX($F73,91)+1)*$D73/$E73</x:f>
        <x:v>0</x:v>
      </x:c>
      <x:c r="AA73" s="40" t="n">
        <x:f>MAX(0,MIN($G73,100)-MAX($F73,96)+1)*$D73/$E73</x:f>
        <x:v>0</x:v>
      </x:c>
      <x:c r="AB73" s="40" t="n">
        <x:f>MAX(0,MIN($G73,105)-MAX($F73,101)+1)*$D73/$E73</x:f>
        <x:v>0</x:v>
      </x:c>
      <x:c r="AC73" s="40" t="n">
        <x:f>MAX(0,MIN($G73,110)-MAX($F73,106)+1)*$D73/$E73</x:f>
        <x:v>0</x:v>
      </x:c>
      <x:c r="AD73" s="40" t="n">
        <x:f>MAX(0,MIN($G73,115)-MAX($F73,111)+1)*$D73/$E73</x:f>
        <x:v>0</x:v>
      </x:c>
      <x:c r="AE73" s="40" t="n">
        <x:f>MAX(0,MIN($G73,120)-MAX($F73,116)+1)*$D73/$E73</x:f>
        <x:v>0</x:v>
      </x:c>
      <x:c r="AF73" s="40" t="n">
        <x:f>MAX(0,MIN($G73,125)-MAX($F73,121)+1)*$D73/$E73</x:f>
        <x:v>0</x:v>
      </x:c>
      <x:c r="AG73" s="40" t="n">
        <x:f>MAX(0,MIN($G73,130)-MAX($F73,126)+1)*$D73/$E73</x:f>
        <x:v>0</x:v>
      </x:c>
      <x:c r="AH73" s="40" t="n">
        <x:f>MAX(0,MIN($G73,135)-MAX($F73,131)+1)*$D73/$E73</x:f>
        <x:v>0</x:v>
      </x:c>
      <x:c r="AI73" s="40" t="n">
        <x:f>MAX(0,MIN($G73,140)-MAX($F73,136)+1)*$D73/$E73</x:f>
        <x:v>0</x:v>
      </x:c>
      <x:c r="AJ73" s="40" t="n">
        <x:f>MAX(0,MIN($G73,145)-MAX($F73,141)+1)*$D73/$E73</x:f>
        <x:v>0</x:v>
      </x:c>
      <x:c r="AK73" s="40" t="n">
        <x:f>MAX(0,MIN($G73,150)-MAX($F73,146)+1)*$D73/$E73</x:f>
        <x:v>0</x:v>
      </x:c>
      <x:c r="AL73" s="40" t="n">
        <x:f>MAX(0,MIN($G73,155)-MAX($F73,151)+1)*$D73/$E73</x:f>
        <x:v>0</x:v>
      </x:c>
      <x:c r="AM73" s="40" t="n">
        <x:f>MAX(0,MIN($G73,160)-MAX($F73,156)+1)*$D73/$E73</x:f>
        <x:v>0</x:v>
      </x:c>
      <x:c r="AN73" s="40" t="n">
        <x:f>MAX(0,MIN($G73,165)-MAX($F73,161)+1)*$D73/$E73</x:f>
        <x:v>0</x:v>
      </x:c>
      <x:c r="AO73" s="40" t="n">
        <x:f>MAX(0,MIN($G73,170)-MAX($F73,166)+1)*$D73/$E73</x:f>
        <x:v>0</x:v>
      </x:c>
      <x:c r="AP73" s="40" t="n">
        <x:f>MAX(0,MIN($G73,175)-MAX($F73,171)+1)*$D73/$E73</x:f>
        <x:v>0</x:v>
      </x:c>
      <x:c r="AQ73" s="40" t="n">
        <x:f>MAX(0,MIN($G73,180)-MAX($F73,176)+1)*$D73/$E73</x:f>
        <x:v>0</x:v>
      </x:c>
    </x:row>
    <x:row r="74" ht="27" customHeight="1">
      <x:c r="A74" s="10" t="str">
        <x:v>G1</x:v>
      </x:c>
      <x:c r="B74" s="10" t="str">
        <x:f>'Tasks'!D40</x:f>
        <x:v>HP</x:v>
      </x:c>
      <x:c r="C74" s="10" t="str">
        <x:v>Owner</x:v>
      </x:c>
      <x:c r="D74" s="39" t="n">
        <x:f>'Tasks'!O40</x:f>
        <x:v>4</x:v>
      </x:c>
      <x:c r="E74" s="39" t="n">
        <x:f>'Tasks'!F40</x:f>
        <x:v>1</x:v>
      </x:c>
      <x:c r="F74" s="39" t="n">
        <x:f>'Tasks'!K40</x:f>
        <x:v>47</x:v>
      </x:c>
      <x:c r="G74" s="39" t="n">
        <x:f>'Tasks'!L40</x:f>
        <x:v>47</x:v>
      </x:c>
      <x:c r="H74" s="39" t="n">
        <x:f>MAX(0,MIN($G74,5)-MAX($F74,1)+1)*$D74/$E74</x:f>
        <x:v>0</x:v>
      </x:c>
      <x:c r="I74" s="39" t="n">
        <x:f>MAX(0,MIN($G74,10)-MAX($F74,6)+1)*$D74/$E74</x:f>
        <x:v>0</x:v>
      </x:c>
      <x:c r="J74" s="39" t="n">
        <x:f>MAX(0,MIN($G74,15)-MAX($F74,11)+1)*$D74/$E74</x:f>
        <x:v>0</x:v>
      </x:c>
      <x:c r="K74" s="39" t="n">
        <x:f>MAX(0,MIN($G74,20)-MAX($F74,16)+1)*$D74/$E74</x:f>
        <x:v>0</x:v>
      </x:c>
      <x:c r="L74" s="39" t="n">
        <x:f>MAX(0,MIN($G74,25)-MAX($F74,21)+1)*$D74/$E74</x:f>
        <x:v>0</x:v>
      </x:c>
      <x:c r="M74" s="39" t="n">
        <x:f>MAX(0,MIN($G74,30)-MAX($F74,26)+1)*$D74/$E74</x:f>
        <x:v>0</x:v>
      </x:c>
      <x:c r="N74" s="39" t="n">
        <x:f>MAX(0,MIN($G74,35)-MAX($F74,31)+1)*$D74/$E74</x:f>
        <x:v>0</x:v>
      </x:c>
      <x:c r="O74" s="39" t="n">
        <x:f>MAX(0,MIN($G74,40)-MAX($F74,36)+1)*$D74/$E74</x:f>
        <x:v>0</x:v>
      </x:c>
      <x:c r="P74" s="39" t="n">
        <x:f>MAX(0,MIN($G74,45)-MAX($F74,41)+1)*$D74/$E74</x:f>
        <x:v>0</x:v>
      </x:c>
      <x:c r="Q74" s="39" t="n">
        <x:f>MAX(0,MIN($G74,50)-MAX($F74,46)+1)*$D74/$E74</x:f>
        <x:v>4</x:v>
      </x:c>
      <x:c r="R74" s="39" t="n">
        <x:f>MAX(0,MIN($G74,55)-MAX($F74,51)+1)*$D74/$E74</x:f>
        <x:v>0</x:v>
      </x:c>
      <x:c r="S74" s="39" t="n">
        <x:f>MAX(0,MIN($G74,60)-MAX($F74,56)+1)*$D74/$E74</x:f>
        <x:v>0</x:v>
      </x:c>
      <x:c r="T74" s="39" t="n">
        <x:f>MAX(0,MIN($G74,65)-MAX($F74,61)+1)*$D74/$E74</x:f>
        <x:v>0</x:v>
      </x:c>
      <x:c r="U74" s="39" t="n">
        <x:f>MAX(0,MIN($G74,70)-MAX($F74,66)+1)*$D74/$E74</x:f>
        <x:v>0</x:v>
      </x:c>
      <x:c r="V74" s="39" t="n">
        <x:f>MAX(0,MIN($G74,75)-MAX($F74,71)+1)*$D74/$E74</x:f>
        <x:v>0</x:v>
      </x:c>
      <x:c r="W74" s="39" t="n">
        <x:f>MAX(0,MIN($G74,80)-MAX($F74,76)+1)*$D74/$E74</x:f>
        <x:v>0</x:v>
      </x:c>
      <x:c r="X74" s="39" t="n">
        <x:f>MAX(0,MIN($G74,85)-MAX($F74,81)+1)*$D74/$E74</x:f>
        <x:v>0</x:v>
      </x:c>
      <x:c r="Y74" s="39" t="n">
        <x:f>MAX(0,MIN($G74,90)-MAX($F74,86)+1)*$D74/$E74</x:f>
        <x:v>0</x:v>
      </x:c>
      <x:c r="Z74" s="39" t="n">
        <x:f>MAX(0,MIN($G74,95)-MAX($F74,91)+1)*$D74/$E74</x:f>
        <x:v>0</x:v>
      </x:c>
      <x:c r="AA74" s="39" t="n">
        <x:f>MAX(0,MIN($G74,100)-MAX($F74,96)+1)*$D74/$E74</x:f>
        <x:v>0</x:v>
      </x:c>
      <x:c r="AB74" s="39" t="n">
        <x:f>MAX(0,MIN($G74,105)-MAX($F74,101)+1)*$D74/$E74</x:f>
        <x:v>0</x:v>
      </x:c>
      <x:c r="AC74" s="39" t="n">
        <x:f>MAX(0,MIN($G74,110)-MAX($F74,106)+1)*$D74/$E74</x:f>
        <x:v>0</x:v>
      </x:c>
      <x:c r="AD74" s="39" t="n">
        <x:f>MAX(0,MIN($G74,115)-MAX($F74,111)+1)*$D74/$E74</x:f>
        <x:v>0</x:v>
      </x:c>
      <x:c r="AE74" s="39" t="n">
        <x:f>MAX(0,MIN($G74,120)-MAX($F74,116)+1)*$D74/$E74</x:f>
        <x:v>0</x:v>
      </x:c>
      <x:c r="AF74" s="39" t="n">
        <x:f>MAX(0,MIN($G74,125)-MAX($F74,121)+1)*$D74/$E74</x:f>
        <x:v>0</x:v>
      </x:c>
      <x:c r="AG74" s="39" t="n">
        <x:f>MAX(0,MIN($G74,130)-MAX($F74,126)+1)*$D74/$E74</x:f>
        <x:v>0</x:v>
      </x:c>
      <x:c r="AH74" s="39" t="n">
        <x:f>MAX(0,MIN($G74,135)-MAX($F74,131)+1)*$D74/$E74</x:f>
        <x:v>0</x:v>
      </x:c>
      <x:c r="AI74" s="39" t="n">
        <x:f>MAX(0,MIN($G74,140)-MAX($F74,136)+1)*$D74/$E74</x:f>
        <x:v>0</x:v>
      </x:c>
      <x:c r="AJ74" s="39" t="n">
        <x:f>MAX(0,MIN($G74,145)-MAX($F74,141)+1)*$D74/$E74</x:f>
        <x:v>0</x:v>
      </x:c>
      <x:c r="AK74" s="39" t="n">
        <x:f>MAX(0,MIN($G74,150)-MAX($F74,146)+1)*$D74/$E74</x:f>
        <x:v>0</x:v>
      </x:c>
      <x:c r="AL74" s="39" t="n">
        <x:f>MAX(0,MIN($G74,155)-MAX($F74,151)+1)*$D74/$E74</x:f>
        <x:v>0</x:v>
      </x:c>
      <x:c r="AM74" s="39" t="n">
        <x:f>MAX(0,MIN($G74,160)-MAX($F74,156)+1)*$D74/$E74</x:f>
        <x:v>0</x:v>
      </x:c>
      <x:c r="AN74" s="39" t="n">
        <x:f>MAX(0,MIN($G74,165)-MAX($F74,161)+1)*$D74/$E74</x:f>
        <x:v>0</x:v>
      </x:c>
      <x:c r="AO74" s="39" t="n">
        <x:f>MAX(0,MIN($G74,170)-MAX($F74,166)+1)*$D74/$E74</x:f>
        <x:v>0</x:v>
      </x:c>
      <x:c r="AP74" s="39" t="n">
        <x:f>MAX(0,MIN($G74,175)-MAX($F74,171)+1)*$D74/$E74</x:f>
        <x:v>0</x:v>
      </x:c>
      <x:c r="AQ74" s="39" t="n">
        <x:f>MAX(0,MIN($G74,180)-MAX($F74,176)+1)*$D74/$E74</x:f>
        <x:v>0</x:v>
      </x:c>
    </x:row>
    <x:row r="75" ht="27" customHeight="1">
      <x:c r="A75" s="9" t="str">
        <x:v>G1</x:v>
      </x:c>
      <x:c r="B75" s="9" t="str">
        <x:f>'Tasks'!P40</x:f>
        <x:v>TD</x:v>
      </x:c>
      <x:c r="C75" s="9" t="str">
        <x:v>Review</x:v>
      </x:c>
      <x:c r="D75" s="40" t="n">
        <x:f>'Tasks'!Q40</x:f>
        <x:v>4</x:v>
      </x:c>
      <x:c r="E75" s="40" t="n">
        <x:f>'Tasks'!F40</x:f>
        <x:v>1</x:v>
      </x:c>
      <x:c r="F75" s="40" t="n">
        <x:f>'Tasks'!K40</x:f>
        <x:v>47</x:v>
      </x:c>
      <x:c r="G75" s="40" t="n">
        <x:f>'Tasks'!L40</x:f>
        <x:v>47</x:v>
      </x:c>
      <x:c r="H75" s="40" t="n">
        <x:f>MAX(0,MIN($G75,5)-MAX($F75,1)+1)*$D75/$E75</x:f>
        <x:v>0</x:v>
      </x:c>
      <x:c r="I75" s="40" t="n">
        <x:f>MAX(0,MIN($G75,10)-MAX($F75,6)+1)*$D75/$E75</x:f>
        <x:v>0</x:v>
      </x:c>
      <x:c r="J75" s="40" t="n">
        <x:f>MAX(0,MIN($G75,15)-MAX($F75,11)+1)*$D75/$E75</x:f>
        <x:v>0</x:v>
      </x:c>
      <x:c r="K75" s="40" t="n">
        <x:f>MAX(0,MIN($G75,20)-MAX($F75,16)+1)*$D75/$E75</x:f>
        <x:v>0</x:v>
      </x:c>
      <x:c r="L75" s="40" t="n">
        <x:f>MAX(0,MIN($G75,25)-MAX($F75,21)+1)*$D75/$E75</x:f>
        <x:v>0</x:v>
      </x:c>
      <x:c r="M75" s="40" t="n">
        <x:f>MAX(0,MIN($G75,30)-MAX($F75,26)+1)*$D75/$E75</x:f>
        <x:v>0</x:v>
      </x:c>
      <x:c r="N75" s="40" t="n">
        <x:f>MAX(0,MIN($G75,35)-MAX($F75,31)+1)*$D75/$E75</x:f>
        <x:v>0</x:v>
      </x:c>
      <x:c r="O75" s="40" t="n">
        <x:f>MAX(0,MIN($G75,40)-MAX($F75,36)+1)*$D75/$E75</x:f>
        <x:v>0</x:v>
      </x:c>
      <x:c r="P75" s="40" t="n">
        <x:f>MAX(0,MIN($G75,45)-MAX($F75,41)+1)*$D75/$E75</x:f>
        <x:v>0</x:v>
      </x:c>
      <x:c r="Q75" s="40" t="n">
        <x:f>MAX(0,MIN($G75,50)-MAX($F75,46)+1)*$D75/$E75</x:f>
        <x:v>4</x:v>
      </x:c>
      <x:c r="R75" s="40" t="n">
        <x:f>MAX(0,MIN($G75,55)-MAX($F75,51)+1)*$D75/$E75</x:f>
        <x:v>0</x:v>
      </x:c>
      <x:c r="S75" s="40" t="n">
        <x:f>MAX(0,MIN($G75,60)-MAX($F75,56)+1)*$D75/$E75</x:f>
        <x:v>0</x:v>
      </x:c>
      <x:c r="T75" s="40" t="n">
        <x:f>MAX(0,MIN($G75,65)-MAX($F75,61)+1)*$D75/$E75</x:f>
        <x:v>0</x:v>
      </x:c>
      <x:c r="U75" s="40" t="n">
        <x:f>MAX(0,MIN($G75,70)-MAX($F75,66)+1)*$D75/$E75</x:f>
        <x:v>0</x:v>
      </x:c>
      <x:c r="V75" s="40" t="n">
        <x:f>MAX(0,MIN($G75,75)-MAX($F75,71)+1)*$D75/$E75</x:f>
        <x:v>0</x:v>
      </x:c>
      <x:c r="W75" s="40" t="n">
        <x:f>MAX(0,MIN($G75,80)-MAX($F75,76)+1)*$D75/$E75</x:f>
        <x:v>0</x:v>
      </x:c>
      <x:c r="X75" s="40" t="n">
        <x:f>MAX(0,MIN($G75,85)-MAX($F75,81)+1)*$D75/$E75</x:f>
        <x:v>0</x:v>
      </x:c>
      <x:c r="Y75" s="40" t="n">
        <x:f>MAX(0,MIN($G75,90)-MAX($F75,86)+1)*$D75/$E75</x:f>
        <x:v>0</x:v>
      </x:c>
      <x:c r="Z75" s="40" t="n">
        <x:f>MAX(0,MIN($G75,95)-MAX($F75,91)+1)*$D75/$E75</x:f>
        <x:v>0</x:v>
      </x:c>
      <x:c r="AA75" s="40" t="n">
        <x:f>MAX(0,MIN($G75,100)-MAX($F75,96)+1)*$D75/$E75</x:f>
        <x:v>0</x:v>
      </x:c>
      <x:c r="AB75" s="40" t="n">
        <x:f>MAX(0,MIN($G75,105)-MAX($F75,101)+1)*$D75/$E75</x:f>
        <x:v>0</x:v>
      </x:c>
      <x:c r="AC75" s="40" t="n">
        <x:f>MAX(0,MIN($G75,110)-MAX($F75,106)+1)*$D75/$E75</x:f>
        <x:v>0</x:v>
      </x:c>
      <x:c r="AD75" s="40" t="n">
        <x:f>MAX(0,MIN($G75,115)-MAX($F75,111)+1)*$D75/$E75</x:f>
        <x:v>0</x:v>
      </x:c>
      <x:c r="AE75" s="40" t="n">
        <x:f>MAX(0,MIN($G75,120)-MAX($F75,116)+1)*$D75/$E75</x:f>
        <x:v>0</x:v>
      </x:c>
      <x:c r="AF75" s="40" t="n">
        <x:f>MAX(0,MIN($G75,125)-MAX($F75,121)+1)*$D75/$E75</x:f>
        <x:v>0</x:v>
      </x:c>
      <x:c r="AG75" s="40" t="n">
        <x:f>MAX(0,MIN($G75,130)-MAX($F75,126)+1)*$D75/$E75</x:f>
        <x:v>0</x:v>
      </x:c>
      <x:c r="AH75" s="40" t="n">
        <x:f>MAX(0,MIN($G75,135)-MAX($F75,131)+1)*$D75/$E75</x:f>
        <x:v>0</x:v>
      </x:c>
      <x:c r="AI75" s="40" t="n">
        <x:f>MAX(0,MIN($G75,140)-MAX($F75,136)+1)*$D75/$E75</x:f>
        <x:v>0</x:v>
      </x:c>
      <x:c r="AJ75" s="40" t="n">
        <x:f>MAX(0,MIN($G75,145)-MAX($F75,141)+1)*$D75/$E75</x:f>
        <x:v>0</x:v>
      </x:c>
      <x:c r="AK75" s="40" t="n">
        <x:f>MAX(0,MIN($G75,150)-MAX($F75,146)+1)*$D75/$E75</x:f>
        <x:v>0</x:v>
      </x:c>
      <x:c r="AL75" s="40" t="n">
        <x:f>MAX(0,MIN($G75,155)-MAX($F75,151)+1)*$D75/$E75</x:f>
        <x:v>0</x:v>
      </x:c>
      <x:c r="AM75" s="40" t="n">
        <x:f>MAX(0,MIN($G75,160)-MAX($F75,156)+1)*$D75/$E75</x:f>
        <x:v>0</x:v>
      </x:c>
      <x:c r="AN75" s="40" t="n">
        <x:f>MAX(0,MIN($G75,165)-MAX($F75,161)+1)*$D75/$E75</x:f>
        <x:v>0</x:v>
      </x:c>
      <x:c r="AO75" s="40" t="n">
        <x:f>MAX(0,MIN($G75,170)-MAX($F75,166)+1)*$D75/$E75</x:f>
        <x:v>0</x:v>
      </x:c>
      <x:c r="AP75" s="40" t="n">
        <x:f>MAX(0,MIN($G75,175)-MAX($F75,171)+1)*$D75/$E75</x:f>
        <x:v>0</x:v>
      </x:c>
      <x:c r="AQ75" s="40" t="n">
        <x:f>MAX(0,MIN($G75,180)-MAX($F75,176)+1)*$D75/$E75</x:f>
        <x:v>0</x:v>
      </x:c>
    </x:row>
    <x:row r="76" ht="27" customHeight="1">
      <x:c r="A76" s="10" t="str">
        <x:v>E04</x:v>
      </x:c>
      <x:c r="B76" s="10" t="str">
        <x:f>'Tasks'!D41</x:f>
        <x:v>AI</x:v>
      </x:c>
      <x:c r="C76" s="10" t="str">
        <x:v>Owner</x:v>
      </x:c>
      <x:c r="D76" s="39" t="n">
        <x:f>'Tasks'!O41</x:f>
        <x:v>24</x:v>
      </x:c>
      <x:c r="E76" s="39" t="n">
        <x:f>'Tasks'!F41</x:f>
        <x:v>4</x:v>
      </x:c>
      <x:c r="F76" s="39" t="n">
        <x:f>'Tasks'!K41</x:f>
        <x:v>48</x:v>
      </x:c>
      <x:c r="G76" s="39" t="n">
        <x:f>'Tasks'!L41</x:f>
        <x:v>51</x:v>
      </x:c>
      <x:c r="H76" s="39" t="n">
        <x:f>MAX(0,MIN($G76,5)-MAX($F76,1)+1)*$D76/$E76</x:f>
        <x:v>0</x:v>
      </x:c>
      <x:c r="I76" s="39" t="n">
        <x:f>MAX(0,MIN($G76,10)-MAX($F76,6)+1)*$D76/$E76</x:f>
        <x:v>0</x:v>
      </x:c>
      <x:c r="J76" s="39" t="n">
        <x:f>MAX(0,MIN($G76,15)-MAX($F76,11)+1)*$D76/$E76</x:f>
        <x:v>0</x:v>
      </x:c>
      <x:c r="K76" s="39" t="n">
        <x:f>MAX(0,MIN($G76,20)-MAX($F76,16)+1)*$D76/$E76</x:f>
        <x:v>0</x:v>
      </x:c>
      <x:c r="L76" s="39" t="n">
        <x:f>MAX(0,MIN($G76,25)-MAX($F76,21)+1)*$D76/$E76</x:f>
        <x:v>0</x:v>
      </x:c>
      <x:c r="M76" s="39" t="n">
        <x:f>MAX(0,MIN($G76,30)-MAX($F76,26)+1)*$D76/$E76</x:f>
        <x:v>0</x:v>
      </x:c>
      <x:c r="N76" s="39" t="n">
        <x:f>MAX(0,MIN($G76,35)-MAX($F76,31)+1)*$D76/$E76</x:f>
        <x:v>0</x:v>
      </x:c>
      <x:c r="O76" s="39" t="n">
        <x:f>MAX(0,MIN($G76,40)-MAX($F76,36)+1)*$D76/$E76</x:f>
        <x:v>0</x:v>
      </x:c>
      <x:c r="P76" s="39" t="n">
        <x:f>MAX(0,MIN($G76,45)-MAX($F76,41)+1)*$D76/$E76</x:f>
        <x:v>0</x:v>
      </x:c>
      <x:c r="Q76" s="39" t="n">
        <x:f>MAX(0,MIN($G76,50)-MAX($F76,46)+1)*$D76/$E76</x:f>
        <x:v>18</x:v>
      </x:c>
      <x:c r="R76" s="39" t="n">
        <x:f>MAX(0,MIN($G76,55)-MAX($F76,51)+1)*$D76/$E76</x:f>
        <x:v>6</x:v>
      </x:c>
      <x:c r="S76" s="39" t="n">
        <x:f>MAX(0,MIN($G76,60)-MAX($F76,56)+1)*$D76/$E76</x:f>
        <x:v>0</x:v>
      </x:c>
      <x:c r="T76" s="39" t="n">
        <x:f>MAX(0,MIN($G76,65)-MAX($F76,61)+1)*$D76/$E76</x:f>
        <x:v>0</x:v>
      </x:c>
      <x:c r="U76" s="39" t="n">
        <x:f>MAX(0,MIN($G76,70)-MAX($F76,66)+1)*$D76/$E76</x:f>
        <x:v>0</x:v>
      </x:c>
      <x:c r="V76" s="39" t="n">
        <x:f>MAX(0,MIN($G76,75)-MAX($F76,71)+1)*$D76/$E76</x:f>
        <x:v>0</x:v>
      </x:c>
      <x:c r="W76" s="39" t="n">
        <x:f>MAX(0,MIN($G76,80)-MAX($F76,76)+1)*$D76/$E76</x:f>
        <x:v>0</x:v>
      </x:c>
      <x:c r="X76" s="39" t="n">
        <x:f>MAX(0,MIN($G76,85)-MAX($F76,81)+1)*$D76/$E76</x:f>
        <x:v>0</x:v>
      </x:c>
      <x:c r="Y76" s="39" t="n">
        <x:f>MAX(0,MIN($G76,90)-MAX($F76,86)+1)*$D76/$E76</x:f>
        <x:v>0</x:v>
      </x:c>
      <x:c r="Z76" s="39" t="n">
        <x:f>MAX(0,MIN($G76,95)-MAX($F76,91)+1)*$D76/$E76</x:f>
        <x:v>0</x:v>
      </x:c>
      <x:c r="AA76" s="39" t="n">
        <x:f>MAX(0,MIN($G76,100)-MAX($F76,96)+1)*$D76/$E76</x:f>
        <x:v>0</x:v>
      </x:c>
      <x:c r="AB76" s="39" t="n">
        <x:f>MAX(0,MIN($G76,105)-MAX($F76,101)+1)*$D76/$E76</x:f>
        <x:v>0</x:v>
      </x:c>
      <x:c r="AC76" s="39" t="n">
        <x:f>MAX(0,MIN($G76,110)-MAX($F76,106)+1)*$D76/$E76</x:f>
        <x:v>0</x:v>
      </x:c>
      <x:c r="AD76" s="39" t="n">
        <x:f>MAX(0,MIN($G76,115)-MAX($F76,111)+1)*$D76/$E76</x:f>
        <x:v>0</x:v>
      </x:c>
      <x:c r="AE76" s="39" t="n">
        <x:f>MAX(0,MIN($G76,120)-MAX($F76,116)+1)*$D76/$E76</x:f>
        <x:v>0</x:v>
      </x:c>
      <x:c r="AF76" s="39" t="n">
        <x:f>MAX(0,MIN($G76,125)-MAX($F76,121)+1)*$D76/$E76</x:f>
        <x:v>0</x:v>
      </x:c>
      <x:c r="AG76" s="39" t="n">
        <x:f>MAX(0,MIN($G76,130)-MAX($F76,126)+1)*$D76/$E76</x:f>
        <x:v>0</x:v>
      </x:c>
      <x:c r="AH76" s="39" t="n">
        <x:f>MAX(0,MIN($G76,135)-MAX($F76,131)+1)*$D76/$E76</x:f>
        <x:v>0</x:v>
      </x:c>
      <x:c r="AI76" s="39" t="n">
        <x:f>MAX(0,MIN($G76,140)-MAX($F76,136)+1)*$D76/$E76</x:f>
        <x:v>0</x:v>
      </x:c>
      <x:c r="AJ76" s="39" t="n">
        <x:f>MAX(0,MIN($G76,145)-MAX($F76,141)+1)*$D76/$E76</x:f>
        <x:v>0</x:v>
      </x:c>
      <x:c r="AK76" s="39" t="n">
        <x:f>MAX(0,MIN($G76,150)-MAX($F76,146)+1)*$D76/$E76</x:f>
        <x:v>0</x:v>
      </x:c>
      <x:c r="AL76" s="39" t="n">
        <x:f>MAX(0,MIN($G76,155)-MAX($F76,151)+1)*$D76/$E76</x:f>
        <x:v>0</x:v>
      </x:c>
      <x:c r="AM76" s="39" t="n">
        <x:f>MAX(0,MIN($G76,160)-MAX($F76,156)+1)*$D76/$E76</x:f>
        <x:v>0</x:v>
      </x:c>
      <x:c r="AN76" s="39" t="n">
        <x:f>MAX(0,MIN($G76,165)-MAX($F76,161)+1)*$D76/$E76</x:f>
        <x:v>0</x:v>
      </x:c>
      <x:c r="AO76" s="39" t="n">
        <x:f>MAX(0,MIN($G76,170)-MAX($F76,166)+1)*$D76/$E76</x:f>
        <x:v>0</x:v>
      </x:c>
      <x:c r="AP76" s="39" t="n">
        <x:f>MAX(0,MIN($G76,175)-MAX($F76,171)+1)*$D76/$E76</x:f>
        <x:v>0</x:v>
      </x:c>
      <x:c r="AQ76" s="39" t="n">
        <x:f>MAX(0,MIN($G76,180)-MAX($F76,176)+1)*$D76/$E76</x:f>
        <x:v>0</x:v>
      </x:c>
    </x:row>
    <x:row r="77" ht="27" customHeight="1">
      <x:c r="A77" s="9" t="str">
        <x:v>E04</x:v>
      </x:c>
      <x:c r="B77" s="9" t="str">
        <x:f>'Tasks'!P41</x:f>
        <x:v>PAE</x:v>
      </x:c>
      <x:c r="C77" s="9" t="str">
        <x:v>Review</x:v>
      </x:c>
      <x:c r="D77" s="40" t="n">
        <x:f>'Tasks'!Q41</x:f>
        <x:v>6</x:v>
      </x:c>
      <x:c r="E77" s="40" t="n">
        <x:f>'Tasks'!F41</x:f>
        <x:v>4</x:v>
      </x:c>
      <x:c r="F77" s="40" t="n">
        <x:f>'Tasks'!K41</x:f>
        <x:v>48</x:v>
      </x:c>
      <x:c r="G77" s="40" t="n">
        <x:f>'Tasks'!L41</x:f>
        <x:v>51</x:v>
      </x:c>
      <x:c r="H77" s="40" t="n">
        <x:f>MAX(0,MIN($G77,5)-MAX($F77,1)+1)*$D77/$E77</x:f>
        <x:v>0</x:v>
      </x:c>
      <x:c r="I77" s="40" t="n">
        <x:f>MAX(0,MIN($G77,10)-MAX($F77,6)+1)*$D77/$E77</x:f>
        <x:v>0</x:v>
      </x:c>
      <x:c r="J77" s="40" t="n">
        <x:f>MAX(0,MIN($G77,15)-MAX($F77,11)+1)*$D77/$E77</x:f>
        <x:v>0</x:v>
      </x:c>
      <x:c r="K77" s="40" t="n">
        <x:f>MAX(0,MIN($G77,20)-MAX($F77,16)+1)*$D77/$E77</x:f>
        <x:v>0</x:v>
      </x:c>
      <x:c r="L77" s="40" t="n">
        <x:f>MAX(0,MIN($G77,25)-MAX($F77,21)+1)*$D77/$E77</x:f>
        <x:v>0</x:v>
      </x:c>
      <x:c r="M77" s="40" t="n">
        <x:f>MAX(0,MIN($G77,30)-MAX($F77,26)+1)*$D77/$E77</x:f>
        <x:v>0</x:v>
      </x:c>
      <x:c r="N77" s="40" t="n">
        <x:f>MAX(0,MIN($G77,35)-MAX($F77,31)+1)*$D77/$E77</x:f>
        <x:v>0</x:v>
      </x:c>
      <x:c r="O77" s="40" t="n">
        <x:f>MAX(0,MIN($G77,40)-MAX($F77,36)+1)*$D77/$E77</x:f>
        <x:v>0</x:v>
      </x:c>
      <x:c r="P77" s="40" t="n">
        <x:f>MAX(0,MIN($G77,45)-MAX($F77,41)+1)*$D77/$E77</x:f>
        <x:v>0</x:v>
      </x:c>
      <x:c r="Q77" s="40" t="n">
        <x:f>MAX(0,MIN($G77,50)-MAX($F77,46)+1)*$D77/$E77</x:f>
        <x:v>4.5</x:v>
      </x:c>
      <x:c r="R77" s="40" t="n">
        <x:f>MAX(0,MIN($G77,55)-MAX($F77,51)+1)*$D77/$E77</x:f>
        <x:v>1.5</x:v>
      </x:c>
      <x:c r="S77" s="40" t="n">
        <x:f>MAX(0,MIN($G77,60)-MAX($F77,56)+1)*$D77/$E77</x:f>
        <x:v>0</x:v>
      </x:c>
      <x:c r="T77" s="40" t="n">
        <x:f>MAX(0,MIN($G77,65)-MAX($F77,61)+1)*$D77/$E77</x:f>
        <x:v>0</x:v>
      </x:c>
      <x:c r="U77" s="40" t="n">
        <x:f>MAX(0,MIN($G77,70)-MAX($F77,66)+1)*$D77/$E77</x:f>
        <x:v>0</x:v>
      </x:c>
      <x:c r="V77" s="40" t="n">
        <x:f>MAX(0,MIN($G77,75)-MAX($F77,71)+1)*$D77/$E77</x:f>
        <x:v>0</x:v>
      </x:c>
      <x:c r="W77" s="40" t="n">
        <x:f>MAX(0,MIN($G77,80)-MAX($F77,76)+1)*$D77/$E77</x:f>
        <x:v>0</x:v>
      </x:c>
      <x:c r="X77" s="40" t="n">
        <x:f>MAX(0,MIN($G77,85)-MAX($F77,81)+1)*$D77/$E77</x:f>
        <x:v>0</x:v>
      </x:c>
      <x:c r="Y77" s="40" t="n">
        <x:f>MAX(0,MIN($G77,90)-MAX($F77,86)+1)*$D77/$E77</x:f>
        <x:v>0</x:v>
      </x:c>
      <x:c r="Z77" s="40" t="n">
        <x:f>MAX(0,MIN($G77,95)-MAX($F77,91)+1)*$D77/$E77</x:f>
        <x:v>0</x:v>
      </x:c>
      <x:c r="AA77" s="40" t="n">
        <x:f>MAX(0,MIN($G77,100)-MAX($F77,96)+1)*$D77/$E77</x:f>
        <x:v>0</x:v>
      </x:c>
      <x:c r="AB77" s="40" t="n">
        <x:f>MAX(0,MIN($G77,105)-MAX($F77,101)+1)*$D77/$E77</x:f>
        <x:v>0</x:v>
      </x:c>
      <x:c r="AC77" s="40" t="n">
        <x:f>MAX(0,MIN($G77,110)-MAX($F77,106)+1)*$D77/$E77</x:f>
        <x:v>0</x:v>
      </x:c>
      <x:c r="AD77" s="40" t="n">
        <x:f>MAX(0,MIN($G77,115)-MAX($F77,111)+1)*$D77/$E77</x:f>
        <x:v>0</x:v>
      </x:c>
      <x:c r="AE77" s="40" t="n">
        <x:f>MAX(0,MIN($G77,120)-MAX($F77,116)+1)*$D77/$E77</x:f>
        <x:v>0</x:v>
      </x:c>
      <x:c r="AF77" s="40" t="n">
        <x:f>MAX(0,MIN($G77,125)-MAX($F77,121)+1)*$D77/$E77</x:f>
        <x:v>0</x:v>
      </x:c>
      <x:c r="AG77" s="40" t="n">
        <x:f>MAX(0,MIN($G77,130)-MAX($F77,126)+1)*$D77/$E77</x:f>
        <x:v>0</x:v>
      </x:c>
      <x:c r="AH77" s="40" t="n">
        <x:f>MAX(0,MIN($G77,135)-MAX($F77,131)+1)*$D77/$E77</x:f>
        <x:v>0</x:v>
      </x:c>
      <x:c r="AI77" s="40" t="n">
        <x:f>MAX(0,MIN($G77,140)-MAX($F77,136)+1)*$D77/$E77</x:f>
        <x:v>0</x:v>
      </x:c>
      <x:c r="AJ77" s="40" t="n">
        <x:f>MAX(0,MIN($G77,145)-MAX($F77,141)+1)*$D77/$E77</x:f>
        <x:v>0</x:v>
      </x:c>
      <x:c r="AK77" s="40" t="n">
        <x:f>MAX(0,MIN($G77,150)-MAX($F77,146)+1)*$D77/$E77</x:f>
        <x:v>0</x:v>
      </x:c>
      <x:c r="AL77" s="40" t="n">
        <x:f>MAX(0,MIN($G77,155)-MAX($F77,151)+1)*$D77/$E77</x:f>
        <x:v>0</x:v>
      </x:c>
      <x:c r="AM77" s="40" t="n">
        <x:f>MAX(0,MIN($G77,160)-MAX($F77,156)+1)*$D77/$E77</x:f>
        <x:v>0</x:v>
      </x:c>
      <x:c r="AN77" s="40" t="n">
        <x:f>MAX(0,MIN($G77,165)-MAX($F77,161)+1)*$D77/$E77</x:f>
        <x:v>0</x:v>
      </x:c>
      <x:c r="AO77" s="40" t="n">
        <x:f>MAX(0,MIN($G77,170)-MAX($F77,166)+1)*$D77/$E77</x:f>
        <x:v>0</x:v>
      </x:c>
      <x:c r="AP77" s="40" t="n">
        <x:f>MAX(0,MIN($G77,175)-MAX($F77,171)+1)*$D77/$E77</x:f>
        <x:v>0</x:v>
      </x:c>
      <x:c r="AQ77" s="40" t="n">
        <x:f>MAX(0,MIN($G77,180)-MAX($F77,176)+1)*$D77/$E77</x:f>
        <x:v>0</x:v>
      </x:c>
    </x:row>
    <x:row r="78" ht="27" customHeight="1">
      <x:c r="A78" s="10" t="str">
        <x:v>E05</x:v>
      </x:c>
      <x:c r="B78" s="10" t="str">
        <x:f>'Tasks'!D42</x:f>
        <x:v>AI</x:v>
      </x:c>
      <x:c r="C78" s="10" t="str">
        <x:v>Owner</x:v>
      </x:c>
      <x:c r="D78" s="39" t="n">
        <x:f>'Tasks'!O42</x:f>
        <x:v>16</x:v>
      </x:c>
      <x:c r="E78" s="39" t="n">
        <x:f>'Tasks'!F42</x:f>
        <x:v>3</x:v>
      </x:c>
      <x:c r="F78" s="39" t="n">
        <x:f>'Tasks'!K42</x:f>
        <x:v>52</x:v>
      </x:c>
      <x:c r="G78" s="39" t="n">
        <x:f>'Tasks'!L42</x:f>
        <x:v>54</x:v>
      </x:c>
      <x:c r="H78" s="39" t="n">
        <x:f>MAX(0,MIN($G78,5)-MAX($F78,1)+1)*$D78/$E78</x:f>
        <x:v>0</x:v>
      </x:c>
      <x:c r="I78" s="39" t="n">
        <x:f>MAX(0,MIN($G78,10)-MAX($F78,6)+1)*$D78/$E78</x:f>
        <x:v>0</x:v>
      </x:c>
      <x:c r="J78" s="39" t="n">
        <x:f>MAX(0,MIN($G78,15)-MAX($F78,11)+1)*$D78/$E78</x:f>
        <x:v>0</x:v>
      </x:c>
      <x:c r="K78" s="39" t="n">
        <x:f>MAX(0,MIN($G78,20)-MAX($F78,16)+1)*$D78/$E78</x:f>
        <x:v>0</x:v>
      </x:c>
      <x:c r="L78" s="39" t="n">
        <x:f>MAX(0,MIN($G78,25)-MAX($F78,21)+1)*$D78/$E78</x:f>
        <x:v>0</x:v>
      </x:c>
      <x:c r="M78" s="39" t="n">
        <x:f>MAX(0,MIN($G78,30)-MAX($F78,26)+1)*$D78/$E78</x:f>
        <x:v>0</x:v>
      </x:c>
      <x:c r="N78" s="39" t="n">
        <x:f>MAX(0,MIN($G78,35)-MAX($F78,31)+1)*$D78/$E78</x:f>
        <x:v>0</x:v>
      </x:c>
      <x:c r="O78" s="39" t="n">
        <x:f>MAX(0,MIN($G78,40)-MAX($F78,36)+1)*$D78/$E78</x:f>
        <x:v>0</x:v>
      </x:c>
      <x:c r="P78" s="39" t="n">
        <x:f>MAX(0,MIN($G78,45)-MAX($F78,41)+1)*$D78/$E78</x:f>
        <x:v>0</x:v>
      </x:c>
      <x:c r="Q78" s="39" t="n">
        <x:f>MAX(0,MIN($G78,50)-MAX($F78,46)+1)*$D78/$E78</x:f>
        <x:v>0</x:v>
      </x:c>
      <x:c r="R78" s="39" t="n">
        <x:f>MAX(0,MIN($G78,55)-MAX($F78,51)+1)*$D78/$E78</x:f>
        <x:v>16</x:v>
      </x:c>
      <x:c r="S78" s="39" t="n">
        <x:f>MAX(0,MIN($G78,60)-MAX($F78,56)+1)*$D78/$E78</x:f>
        <x:v>0</x:v>
      </x:c>
      <x:c r="T78" s="39" t="n">
        <x:f>MAX(0,MIN($G78,65)-MAX($F78,61)+1)*$D78/$E78</x:f>
        <x:v>0</x:v>
      </x:c>
      <x:c r="U78" s="39" t="n">
        <x:f>MAX(0,MIN($G78,70)-MAX($F78,66)+1)*$D78/$E78</x:f>
        <x:v>0</x:v>
      </x:c>
      <x:c r="V78" s="39" t="n">
        <x:f>MAX(0,MIN($G78,75)-MAX($F78,71)+1)*$D78/$E78</x:f>
        <x:v>0</x:v>
      </x:c>
      <x:c r="W78" s="39" t="n">
        <x:f>MAX(0,MIN($G78,80)-MAX($F78,76)+1)*$D78/$E78</x:f>
        <x:v>0</x:v>
      </x:c>
      <x:c r="X78" s="39" t="n">
        <x:f>MAX(0,MIN($G78,85)-MAX($F78,81)+1)*$D78/$E78</x:f>
        <x:v>0</x:v>
      </x:c>
      <x:c r="Y78" s="39" t="n">
        <x:f>MAX(0,MIN($G78,90)-MAX($F78,86)+1)*$D78/$E78</x:f>
        <x:v>0</x:v>
      </x:c>
      <x:c r="Z78" s="39" t="n">
        <x:f>MAX(0,MIN($G78,95)-MAX($F78,91)+1)*$D78/$E78</x:f>
        <x:v>0</x:v>
      </x:c>
      <x:c r="AA78" s="39" t="n">
        <x:f>MAX(0,MIN($G78,100)-MAX($F78,96)+1)*$D78/$E78</x:f>
        <x:v>0</x:v>
      </x:c>
      <x:c r="AB78" s="39" t="n">
        <x:f>MAX(0,MIN($G78,105)-MAX($F78,101)+1)*$D78/$E78</x:f>
        <x:v>0</x:v>
      </x:c>
      <x:c r="AC78" s="39" t="n">
        <x:f>MAX(0,MIN($G78,110)-MAX($F78,106)+1)*$D78/$E78</x:f>
        <x:v>0</x:v>
      </x:c>
      <x:c r="AD78" s="39" t="n">
        <x:f>MAX(0,MIN($G78,115)-MAX($F78,111)+1)*$D78/$E78</x:f>
        <x:v>0</x:v>
      </x:c>
      <x:c r="AE78" s="39" t="n">
        <x:f>MAX(0,MIN($G78,120)-MAX($F78,116)+1)*$D78/$E78</x:f>
        <x:v>0</x:v>
      </x:c>
      <x:c r="AF78" s="39" t="n">
        <x:f>MAX(0,MIN($G78,125)-MAX($F78,121)+1)*$D78/$E78</x:f>
        <x:v>0</x:v>
      </x:c>
      <x:c r="AG78" s="39" t="n">
        <x:f>MAX(0,MIN($G78,130)-MAX($F78,126)+1)*$D78/$E78</x:f>
        <x:v>0</x:v>
      </x:c>
      <x:c r="AH78" s="39" t="n">
        <x:f>MAX(0,MIN($G78,135)-MAX($F78,131)+1)*$D78/$E78</x:f>
        <x:v>0</x:v>
      </x:c>
      <x:c r="AI78" s="39" t="n">
        <x:f>MAX(0,MIN($G78,140)-MAX($F78,136)+1)*$D78/$E78</x:f>
        <x:v>0</x:v>
      </x:c>
      <x:c r="AJ78" s="39" t="n">
        <x:f>MAX(0,MIN($G78,145)-MAX($F78,141)+1)*$D78/$E78</x:f>
        <x:v>0</x:v>
      </x:c>
      <x:c r="AK78" s="39" t="n">
        <x:f>MAX(0,MIN($G78,150)-MAX($F78,146)+1)*$D78/$E78</x:f>
        <x:v>0</x:v>
      </x:c>
      <x:c r="AL78" s="39" t="n">
        <x:f>MAX(0,MIN($G78,155)-MAX($F78,151)+1)*$D78/$E78</x:f>
        <x:v>0</x:v>
      </x:c>
      <x:c r="AM78" s="39" t="n">
        <x:f>MAX(0,MIN($G78,160)-MAX($F78,156)+1)*$D78/$E78</x:f>
        <x:v>0</x:v>
      </x:c>
      <x:c r="AN78" s="39" t="n">
        <x:f>MAX(0,MIN($G78,165)-MAX($F78,161)+1)*$D78/$E78</x:f>
        <x:v>0</x:v>
      </x:c>
      <x:c r="AO78" s="39" t="n">
        <x:f>MAX(0,MIN($G78,170)-MAX($F78,166)+1)*$D78/$E78</x:f>
        <x:v>0</x:v>
      </x:c>
      <x:c r="AP78" s="39" t="n">
        <x:f>MAX(0,MIN($G78,175)-MAX($F78,171)+1)*$D78/$E78</x:f>
        <x:v>0</x:v>
      </x:c>
      <x:c r="AQ78" s="39" t="n">
        <x:f>MAX(0,MIN($G78,180)-MAX($F78,176)+1)*$D78/$E78</x:f>
        <x:v>0</x:v>
      </x:c>
    </x:row>
    <x:row r="79" ht="27" customHeight="1">
      <x:c r="A79" s="9" t="str">
        <x:v>E05</x:v>
      </x:c>
      <x:c r="B79" s="9" t="str">
        <x:f>'Tasks'!P42</x:f>
        <x:v>SEC</x:v>
      </x:c>
      <x:c r="C79" s="9" t="str">
        <x:v>Review</x:v>
      </x:c>
      <x:c r="D79" s="40" t="n">
        <x:f>'Tasks'!Q42</x:f>
        <x:v>4</x:v>
      </x:c>
      <x:c r="E79" s="40" t="n">
        <x:f>'Tasks'!F42</x:f>
        <x:v>3</x:v>
      </x:c>
      <x:c r="F79" s="40" t="n">
        <x:f>'Tasks'!K42</x:f>
        <x:v>52</x:v>
      </x:c>
      <x:c r="G79" s="40" t="n">
        <x:f>'Tasks'!L42</x:f>
        <x:v>54</x:v>
      </x:c>
      <x:c r="H79" s="40" t="n">
        <x:f>MAX(0,MIN($G79,5)-MAX($F79,1)+1)*$D79/$E79</x:f>
        <x:v>0</x:v>
      </x:c>
      <x:c r="I79" s="40" t="n">
        <x:f>MAX(0,MIN($G79,10)-MAX($F79,6)+1)*$D79/$E79</x:f>
        <x:v>0</x:v>
      </x:c>
      <x:c r="J79" s="40" t="n">
        <x:f>MAX(0,MIN($G79,15)-MAX($F79,11)+1)*$D79/$E79</x:f>
        <x:v>0</x:v>
      </x:c>
      <x:c r="K79" s="40" t="n">
        <x:f>MAX(0,MIN($G79,20)-MAX($F79,16)+1)*$D79/$E79</x:f>
        <x:v>0</x:v>
      </x:c>
      <x:c r="L79" s="40" t="n">
        <x:f>MAX(0,MIN($G79,25)-MAX($F79,21)+1)*$D79/$E79</x:f>
        <x:v>0</x:v>
      </x:c>
      <x:c r="M79" s="40" t="n">
        <x:f>MAX(0,MIN($G79,30)-MAX($F79,26)+1)*$D79/$E79</x:f>
        <x:v>0</x:v>
      </x:c>
      <x:c r="N79" s="40" t="n">
        <x:f>MAX(0,MIN($G79,35)-MAX($F79,31)+1)*$D79/$E79</x:f>
        <x:v>0</x:v>
      </x:c>
      <x:c r="O79" s="40" t="n">
        <x:f>MAX(0,MIN($G79,40)-MAX($F79,36)+1)*$D79/$E79</x:f>
        <x:v>0</x:v>
      </x:c>
      <x:c r="P79" s="40" t="n">
        <x:f>MAX(0,MIN($G79,45)-MAX($F79,41)+1)*$D79/$E79</x:f>
        <x:v>0</x:v>
      </x:c>
      <x:c r="Q79" s="40" t="n">
        <x:f>MAX(0,MIN($G79,50)-MAX($F79,46)+1)*$D79/$E79</x:f>
        <x:v>0</x:v>
      </x:c>
      <x:c r="R79" s="40" t="n">
        <x:f>MAX(0,MIN($G79,55)-MAX($F79,51)+1)*$D79/$E79</x:f>
        <x:v>4</x:v>
      </x:c>
      <x:c r="S79" s="40" t="n">
        <x:f>MAX(0,MIN($G79,60)-MAX($F79,56)+1)*$D79/$E79</x:f>
        <x:v>0</x:v>
      </x:c>
      <x:c r="T79" s="40" t="n">
        <x:f>MAX(0,MIN($G79,65)-MAX($F79,61)+1)*$D79/$E79</x:f>
        <x:v>0</x:v>
      </x:c>
      <x:c r="U79" s="40" t="n">
        <x:f>MAX(0,MIN($G79,70)-MAX($F79,66)+1)*$D79/$E79</x:f>
        <x:v>0</x:v>
      </x:c>
      <x:c r="V79" s="40" t="n">
        <x:f>MAX(0,MIN($G79,75)-MAX($F79,71)+1)*$D79/$E79</x:f>
        <x:v>0</x:v>
      </x:c>
      <x:c r="W79" s="40" t="n">
        <x:f>MAX(0,MIN($G79,80)-MAX($F79,76)+1)*$D79/$E79</x:f>
        <x:v>0</x:v>
      </x:c>
      <x:c r="X79" s="40" t="n">
        <x:f>MAX(0,MIN($G79,85)-MAX($F79,81)+1)*$D79/$E79</x:f>
        <x:v>0</x:v>
      </x:c>
      <x:c r="Y79" s="40" t="n">
        <x:f>MAX(0,MIN($G79,90)-MAX($F79,86)+1)*$D79/$E79</x:f>
        <x:v>0</x:v>
      </x:c>
      <x:c r="Z79" s="40" t="n">
        <x:f>MAX(0,MIN($G79,95)-MAX($F79,91)+1)*$D79/$E79</x:f>
        <x:v>0</x:v>
      </x:c>
      <x:c r="AA79" s="40" t="n">
        <x:f>MAX(0,MIN($G79,100)-MAX($F79,96)+1)*$D79/$E79</x:f>
        <x:v>0</x:v>
      </x:c>
      <x:c r="AB79" s="40" t="n">
        <x:f>MAX(0,MIN($G79,105)-MAX($F79,101)+1)*$D79/$E79</x:f>
        <x:v>0</x:v>
      </x:c>
      <x:c r="AC79" s="40" t="n">
        <x:f>MAX(0,MIN($G79,110)-MAX($F79,106)+1)*$D79/$E79</x:f>
        <x:v>0</x:v>
      </x:c>
      <x:c r="AD79" s="40" t="n">
        <x:f>MAX(0,MIN($G79,115)-MAX($F79,111)+1)*$D79/$E79</x:f>
        <x:v>0</x:v>
      </x:c>
      <x:c r="AE79" s="40" t="n">
        <x:f>MAX(0,MIN($G79,120)-MAX($F79,116)+1)*$D79/$E79</x:f>
        <x:v>0</x:v>
      </x:c>
      <x:c r="AF79" s="40" t="n">
        <x:f>MAX(0,MIN($G79,125)-MAX($F79,121)+1)*$D79/$E79</x:f>
        <x:v>0</x:v>
      </x:c>
      <x:c r="AG79" s="40" t="n">
        <x:f>MAX(0,MIN($G79,130)-MAX($F79,126)+1)*$D79/$E79</x:f>
        <x:v>0</x:v>
      </x:c>
      <x:c r="AH79" s="40" t="n">
        <x:f>MAX(0,MIN($G79,135)-MAX($F79,131)+1)*$D79/$E79</x:f>
        <x:v>0</x:v>
      </x:c>
      <x:c r="AI79" s="40" t="n">
        <x:f>MAX(0,MIN($G79,140)-MAX($F79,136)+1)*$D79/$E79</x:f>
        <x:v>0</x:v>
      </x:c>
      <x:c r="AJ79" s="40" t="n">
        <x:f>MAX(0,MIN($G79,145)-MAX($F79,141)+1)*$D79/$E79</x:f>
        <x:v>0</x:v>
      </x:c>
      <x:c r="AK79" s="40" t="n">
        <x:f>MAX(0,MIN($G79,150)-MAX($F79,146)+1)*$D79/$E79</x:f>
        <x:v>0</x:v>
      </x:c>
      <x:c r="AL79" s="40" t="n">
        <x:f>MAX(0,MIN($G79,155)-MAX($F79,151)+1)*$D79/$E79</x:f>
        <x:v>0</x:v>
      </x:c>
      <x:c r="AM79" s="40" t="n">
        <x:f>MAX(0,MIN($G79,160)-MAX($F79,156)+1)*$D79/$E79</x:f>
        <x:v>0</x:v>
      </x:c>
      <x:c r="AN79" s="40" t="n">
        <x:f>MAX(0,MIN($G79,165)-MAX($F79,161)+1)*$D79/$E79</x:f>
        <x:v>0</x:v>
      </x:c>
      <x:c r="AO79" s="40" t="n">
        <x:f>MAX(0,MIN($G79,170)-MAX($F79,166)+1)*$D79/$E79</x:f>
        <x:v>0</x:v>
      </x:c>
      <x:c r="AP79" s="40" t="n">
        <x:f>MAX(0,MIN($G79,175)-MAX($F79,171)+1)*$D79/$E79</x:f>
        <x:v>0</x:v>
      </x:c>
      <x:c r="AQ79" s="40" t="n">
        <x:f>MAX(0,MIN($G79,180)-MAX($F79,176)+1)*$D79/$E79</x:f>
        <x:v>0</x:v>
      </x:c>
    </x:row>
    <x:row r="80" ht="27" customHeight="1">
      <x:c r="A80" s="10" t="str">
        <x:v>E06</x:v>
      </x:c>
      <x:c r="B80" s="10" t="str">
        <x:f>'Tasks'!D43</x:f>
        <x:v>OPS</x:v>
      </x:c>
      <x:c r="C80" s="10" t="str">
        <x:v>Owner</x:v>
      </x:c>
      <x:c r="D80" s="39" t="n">
        <x:f>'Tasks'!O43</x:f>
        <x:v>16</x:v>
      </x:c>
      <x:c r="E80" s="39" t="n">
        <x:f>'Tasks'!F43</x:f>
        <x:v>3</x:v>
      </x:c>
      <x:c r="F80" s="39" t="n">
        <x:f>'Tasks'!K43</x:f>
        <x:v>55</x:v>
      </x:c>
      <x:c r="G80" s="39" t="n">
        <x:f>'Tasks'!L43</x:f>
        <x:v>57</x:v>
      </x:c>
      <x:c r="H80" s="39" t="n">
        <x:f>MAX(0,MIN($G80,5)-MAX($F80,1)+1)*$D80/$E80</x:f>
        <x:v>0</x:v>
      </x:c>
      <x:c r="I80" s="39" t="n">
        <x:f>MAX(0,MIN($G80,10)-MAX($F80,6)+1)*$D80/$E80</x:f>
        <x:v>0</x:v>
      </x:c>
      <x:c r="J80" s="39" t="n">
        <x:f>MAX(0,MIN($G80,15)-MAX($F80,11)+1)*$D80/$E80</x:f>
        <x:v>0</x:v>
      </x:c>
      <x:c r="K80" s="39" t="n">
        <x:f>MAX(0,MIN($G80,20)-MAX($F80,16)+1)*$D80/$E80</x:f>
        <x:v>0</x:v>
      </x:c>
      <x:c r="L80" s="39" t="n">
        <x:f>MAX(0,MIN($G80,25)-MAX($F80,21)+1)*$D80/$E80</x:f>
        <x:v>0</x:v>
      </x:c>
      <x:c r="M80" s="39" t="n">
        <x:f>MAX(0,MIN($G80,30)-MAX($F80,26)+1)*$D80/$E80</x:f>
        <x:v>0</x:v>
      </x:c>
      <x:c r="N80" s="39" t="n">
        <x:f>MAX(0,MIN($G80,35)-MAX($F80,31)+1)*$D80/$E80</x:f>
        <x:v>0</x:v>
      </x:c>
      <x:c r="O80" s="39" t="n">
        <x:f>MAX(0,MIN($G80,40)-MAX($F80,36)+1)*$D80/$E80</x:f>
        <x:v>0</x:v>
      </x:c>
      <x:c r="P80" s="39" t="n">
        <x:f>MAX(0,MIN($G80,45)-MAX($F80,41)+1)*$D80/$E80</x:f>
        <x:v>0</x:v>
      </x:c>
      <x:c r="Q80" s="39" t="n">
        <x:f>MAX(0,MIN($G80,50)-MAX($F80,46)+1)*$D80/$E80</x:f>
        <x:v>0</x:v>
      </x:c>
      <x:c r="R80" s="39" t="n">
        <x:f>MAX(0,MIN($G80,55)-MAX($F80,51)+1)*$D80/$E80</x:f>
        <x:v>5.333333333333333</x:v>
      </x:c>
      <x:c r="S80" s="39" t="n">
        <x:f>MAX(0,MIN($G80,60)-MAX($F80,56)+1)*$D80/$E80</x:f>
        <x:v>10.666666666666666</x:v>
      </x:c>
      <x:c r="T80" s="39" t="n">
        <x:f>MAX(0,MIN($G80,65)-MAX($F80,61)+1)*$D80/$E80</x:f>
        <x:v>0</x:v>
      </x:c>
      <x:c r="U80" s="39" t="n">
        <x:f>MAX(0,MIN($G80,70)-MAX($F80,66)+1)*$D80/$E80</x:f>
        <x:v>0</x:v>
      </x:c>
      <x:c r="V80" s="39" t="n">
        <x:f>MAX(0,MIN($G80,75)-MAX($F80,71)+1)*$D80/$E80</x:f>
        <x:v>0</x:v>
      </x:c>
      <x:c r="W80" s="39" t="n">
        <x:f>MAX(0,MIN($G80,80)-MAX($F80,76)+1)*$D80/$E80</x:f>
        <x:v>0</x:v>
      </x:c>
      <x:c r="X80" s="39" t="n">
        <x:f>MAX(0,MIN($G80,85)-MAX($F80,81)+1)*$D80/$E80</x:f>
        <x:v>0</x:v>
      </x:c>
      <x:c r="Y80" s="39" t="n">
        <x:f>MAX(0,MIN($G80,90)-MAX($F80,86)+1)*$D80/$E80</x:f>
        <x:v>0</x:v>
      </x:c>
      <x:c r="Z80" s="39" t="n">
        <x:f>MAX(0,MIN($G80,95)-MAX($F80,91)+1)*$D80/$E80</x:f>
        <x:v>0</x:v>
      </x:c>
      <x:c r="AA80" s="39" t="n">
        <x:f>MAX(0,MIN($G80,100)-MAX($F80,96)+1)*$D80/$E80</x:f>
        <x:v>0</x:v>
      </x:c>
      <x:c r="AB80" s="39" t="n">
        <x:f>MAX(0,MIN($G80,105)-MAX($F80,101)+1)*$D80/$E80</x:f>
        <x:v>0</x:v>
      </x:c>
      <x:c r="AC80" s="39" t="n">
        <x:f>MAX(0,MIN($G80,110)-MAX($F80,106)+1)*$D80/$E80</x:f>
        <x:v>0</x:v>
      </x:c>
      <x:c r="AD80" s="39" t="n">
        <x:f>MAX(0,MIN($G80,115)-MAX($F80,111)+1)*$D80/$E80</x:f>
        <x:v>0</x:v>
      </x:c>
      <x:c r="AE80" s="39" t="n">
        <x:f>MAX(0,MIN($G80,120)-MAX($F80,116)+1)*$D80/$E80</x:f>
        <x:v>0</x:v>
      </x:c>
      <x:c r="AF80" s="39" t="n">
        <x:f>MAX(0,MIN($G80,125)-MAX($F80,121)+1)*$D80/$E80</x:f>
        <x:v>0</x:v>
      </x:c>
      <x:c r="AG80" s="39" t="n">
        <x:f>MAX(0,MIN($G80,130)-MAX($F80,126)+1)*$D80/$E80</x:f>
        <x:v>0</x:v>
      </x:c>
      <x:c r="AH80" s="39" t="n">
        <x:f>MAX(0,MIN($G80,135)-MAX($F80,131)+1)*$D80/$E80</x:f>
        <x:v>0</x:v>
      </x:c>
      <x:c r="AI80" s="39" t="n">
        <x:f>MAX(0,MIN($G80,140)-MAX($F80,136)+1)*$D80/$E80</x:f>
        <x:v>0</x:v>
      </x:c>
      <x:c r="AJ80" s="39" t="n">
        <x:f>MAX(0,MIN($G80,145)-MAX($F80,141)+1)*$D80/$E80</x:f>
        <x:v>0</x:v>
      </x:c>
      <x:c r="AK80" s="39" t="n">
        <x:f>MAX(0,MIN($G80,150)-MAX($F80,146)+1)*$D80/$E80</x:f>
        <x:v>0</x:v>
      </x:c>
      <x:c r="AL80" s="39" t="n">
        <x:f>MAX(0,MIN($G80,155)-MAX($F80,151)+1)*$D80/$E80</x:f>
        <x:v>0</x:v>
      </x:c>
      <x:c r="AM80" s="39" t="n">
        <x:f>MAX(0,MIN($G80,160)-MAX($F80,156)+1)*$D80/$E80</x:f>
        <x:v>0</x:v>
      </x:c>
      <x:c r="AN80" s="39" t="n">
        <x:f>MAX(0,MIN($G80,165)-MAX($F80,161)+1)*$D80/$E80</x:f>
        <x:v>0</x:v>
      </x:c>
      <x:c r="AO80" s="39" t="n">
        <x:f>MAX(0,MIN($G80,170)-MAX($F80,166)+1)*$D80/$E80</x:f>
        <x:v>0</x:v>
      </x:c>
      <x:c r="AP80" s="39" t="n">
        <x:f>MAX(0,MIN($G80,175)-MAX($F80,171)+1)*$D80/$E80</x:f>
        <x:v>0</x:v>
      </x:c>
      <x:c r="AQ80" s="39" t="n">
        <x:f>MAX(0,MIN($G80,180)-MAX($F80,176)+1)*$D80/$E80</x:f>
        <x:v>0</x:v>
      </x:c>
    </x:row>
    <x:row r="81" ht="27" customHeight="1">
      <x:c r="A81" s="9" t="str">
        <x:v>E06</x:v>
      </x:c>
      <x:c r="B81" s="9" t="str">
        <x:f>'Tasks'!P43</x:f>
        <x:v>SEC</x:v>
      </x:c>
      <x:c r="C81" s="9" t="str">
        <x:v>Review</x:v>
      </x:c>
      <x:c r="D81" s="40" t="n">
        <x:f>'Tasks'!Q43</x:f>
        <x:v>5</x:v>
      </x:c>
      <x:c r="E81" s="40" t="n">
        <x:f>'Tasks'!F43</x:f>
        <x:v>3</x:v>
      </x:c>
      <x:c r="F81" s="40" t="n">
        <x:f>'Tasks'!K43</x:f>
        <x:v>55</x:v>
      </x:c>
      <x:c r="G81" s="40" t="n">
        <x:f>'Tasks'!L43</x:f>
        <x:v>57</x:v>
      </x:c>
      <x:c r="H81" s="40" t="n">
        <x:f>MAX(0,MIN($G81,5)-MAX($F81,1)+1)*$D81/$E81</x:f>
        <x:v>0</x:v>
      </x:c>
      <x:c r="I81" s="40" t="n">
        <x:f>MAX(0,MIN($G81,10)-MAX($F81,6)+1)*$D81/$E81</x:f>
        <x:v>0</x:v>
      </x:c>
      <x:c r="J81" s="40" t="n">
        <x:f>MAX(0,MIN($G81,15)-MAX($F81,11)+1)*$D81/$E81</x:f>
        <x:v>0</x:v>
      </x:c>
      <x:c r="K81" s="40" t="n">
        <x:f>MAX(0,MIN($G81,20)-MAX($F81,16)+1)*$D81/$E81</x:f>
        <x:v>0</x:v>
      </x:c>
      <x:c r="L81" s="40" t="n">
        <x:f>MAX(0,MIN($G81,25)-MAX($F81,21)+1)*$D81/$E81</x:f>
        <x:v>0</x:v>
      </x:c>
      <x:c r="M81" s="40" t="n">
        <x:f>MAX(0,MIN($G81,30)-MAX($F81,26)+1)*$D81/$E81</x:f>
        <x:v>0</x:v>
      </x:c>
      <x:c r="N81" s="40" t="n">
        <x:f>MAX(0,MIN($G81,35)-MAX($F81,31)+1)*$D81/$E81</x:f>
        <x:v>0</x:v>
      </x:c>
      <x:c r="O81" s="40" t="n">
        <x:f>MAX(0,MIN($G81,40)-MAX($F81,36)+1)*$D81/$E81</x:f>
        <x:v>0</x:v>
      </x:c>
      <x:c r="P81" s="40" t="n">
        <x:f>MAX(0,MIN($G81,45)-MAX($F81,41)+1)*$D81/$E81</x:f>
        <x:v>0</x:v>
      </x:c>
      <x:c r="Q81" s="40" t="n">
        <x:f>MAX(0,MIN($G81,50)-MAX($F81,46)+1)*$D81/$E81</x:f>
        <x:v>0</x:v>
      </x:c>
      <x:c r="R81" s="40" t="n">
        <x:f>MAX(0,MIN($G81,55)-MAX($F81,51)+1)*$D81/$E81</x:f>
        <x:v>1.6666666666666667</x:v>
      </x:c>
      <x:c r="S81" s="40" t="n">
        <x:f>MAX(0,MIN($G81,60)-MAX($F81,56)+1)*$D81/$E81</x:f>
        <x:v>3.3333333333333335</x:v>
      </x:c>
      <x:c r="T81" s="40" t="n">
        <x:f>MAX(0,MIN($G81,65)-MAX($F81,61)+1)*$D81/$E81</x:f>
        <x:v>0</x:v>
      </x:c>
      <x:c r="U81" s="40" t="n">
        <x:f>MAX(0,MIN($G81,70)-MAX($F81,66)+1)*$D81/$E81</x:f>
        <x:v>0</x:v>
      </x:c>
      <x:c r="V81" s="40" t="n">
        <x:f>MAX(0,MIN($G81,75)-MAX($F81,71)+1)*$D81/$E81</x:f>
        <x:v>0</x:v>
      </x:c>
      <x:c r="W81" s="40" t="n">
        <x:f>MAX(0,MIN($G81,80)-MAX($F81,76)+1)*$D81/$E81</x:f>
        <x:v>0</x:v>
      </x:c>
      <x:c r="X81" s="40" t="n">
        <x:f>MAX(0,MIN($G81,85)-MAX($F81,81)+1)*$D81/$E81</x:f>
        <x:v>0</x:v>
      </x:c>
      <x:c r="Y81" s="40" t="n">
        <x:f>MAX(0,MIN($G81,90)-MAX($F81,86)+1)*$D81/$E81</x:f>
        <x:v>0</x:v>
      </x:c>
      <x:c r="Z81" s="40" t="n">
        <x:f>MAX(0,MIN($G81,95)-MAX($F81,91)+1)*$D81/$E81</x:f>
        <x:v>0</x:v>
      </x:c>
      <x:c r="AA81" s="40" t="n">
        <x:f>MAX(0,MIN($G81,100)-MAX($F81,96)+1)*$D81/$E81</x:f>
        <x:v>0</x:v>
      </x:c>
      <x:c r="AB81" s="40" t="n">
        <x:f>MAX(0,MIN($G81,105)-MAX($F81,101)+1)*$D81/$E81</x:f>
        <x:v>0</x:v>
      </x:c>
      <x:c r="AC81" s="40" t="n">
        <x:f>MAX(0,MIN($G81,110)-MAX($F81,106)+1)*$D81/$E81</x:f>
        <x:v>0</x:v>
      </x:c>
      <x:c r="AD81" s="40" t="n">
        <x:f>MAX(0,MIN($G81,115)-MAX($F81,111)+1)*$D81/$E81</x:f>
        <x:v>0</x:v>
      </x:c>
      <x:c r="AE81" s="40" t="n">
        <x:f>MAX(0,MIN($G81,120)-MAX($F81,116)+1)*$D81/$E81</x:f>
        <x:v>0</x:v>
      </x:c>
      <x:c r="AF81" s="40" t="n">
        <x:f>MAX(0,MIN($G81,125)-MAX($F81,121)+1)*$D81/$E81</x:f>
        <x:v>0</x:v>
      </x:c>
      <x:c r="AG81" s="40" t="n">
        <x:f>MAX(0,MIN($G81,130)-MAX($F81,126)+1)*$D81/$E81</x:f>
        <x:v>0</x:v>
      </x:c>
      <x:c r="AH81" s="40" t="n">
        <x:f>MAX(0,MIN($G81,135)-MAX($F81,131)+1)*$D81/$E81</x:f>
        <x:v>0</x:v>
      </x:c>
      <x:c r="AI81" s="40" t="n">
        <x:f>MAX(0,MIN($G81,140)-MAX($F81,136)+1)*$D81/$E81</x:f>
        <x:v>0</x:v>
      </x:c>
      <x:c r="AJ81" s="40" t="n">
        <x:f>MAX(0,MIN($G81,145)-MAX($F81,141)+1)*$D81/$E81</x:f>
        <x:v>0</x:v>
      </x:c>
      <x:c r="AK81" s="40" t="n">
        <x:f>MAX(0,MIN($G81,150)-MAX($F81,146)+1)*$D81/$E81</x:f>
        <x:v>0</x:v>
      </x:c>
      <x:c r="AL81" s="40" t="n">
        <x:f>MAX(0,MIN($G81,155)-MAX($F81,151)+1)*$D81/$E81</x:f>
        <x:v>0</x:v>
      </x:c>
      <x:c r="AM81" s="40" t="n">
        <x:f>MAX(0,MIN($G81,160)-MAX($F81,156)+1)*$D81/$E81</x:f>
        <x:v>0</x:v>
      </x:c>
      <x:c r="AN81" s="40" t="n">
        <x:f>MAX(0,MIN($G81,165)-MAX($F81,161)+1)*$D81/$E81</x:f>
        <x:v>0</x:v>
      </x:c>
      <x:c r="AO81" s="40" t="n">
        <x:f>MAX(0,MIN($G81,170)-MAX($F81,166)+1)*$D81/$E81</x:f>
        <x:v>0</x:v>
      </x:c>
      <x:c r="AP81" s="40" t="n">
        <x:f>MAX(0,MIN($G81,175)-MAX($F81,171)+1)*$D81/$E81</x:f>
        <x:v>0</x:v>
      </x:c>
      <x:c r="AQ81" s="40" t="n">
        <x:f>MAX(0,MIN($G81,180)-MAX($F81,176)+1)*$D81/$E81</x:f>
        <x:v>0</x:v>
      </x:c>
    </x:row>
    <x:row r="82" ht="27" customHeight="1">
      <x:c r="A82" s="10" t="str">
        <x:v>F01</x:v>
      </x:c>
      <x:c r="B82" s="10" t="str">
        <x:f>'Tasks'!D44</x:f>
        <x:v>TD</x:v>
      </x:c>
      <x:c r="C82" s="10" t="str">
        <x:v>Owner</x:v>
      </x:c>
      <x:c r="D82" s="39" t="n">
        <x:f>'Tasks'!O44</x:f>
        <x:v>24</x:v>
      </x:c>
      <x:c r="E82" s="39" t="n">
        <x:f>'Tasks'!F44</x:f>
        <x:v>7</x:v>
      </x:c>
      <x:c r="F82" s="39" t="n">
        <x:f>'Tasks'!K44</x:f>
        <x:v>48</x:v>
      </x:c>
      <x:c r="G82" s="39" t="n">
        <x:f>'Tasks'!L44</x:f>
        <x:v>54</x:v>
      </x:c>
      <x:c r="H82" s="39" t="n">
        <x:f>MAX(0,MIN($G82,5)-MAX($F82,1)+1)*$D82/$E82</x:f>
        <x:v>0</x:v>
      </x:c>
      <x:c r="I82" s="39" t="n">
        <x:f>MAX(0,MIN($G82,10)-MAX($F82,6)+1)*$D82/$E82</x:f>
        <x:v>0</x:v>
      </x:c>
      <x:c r="J82" s="39" t="n">
        <x:f>MAX(0,MIN($G82,15)-MAX($F82,11)+1)*$D82/$E82</x:f>
        <x:v>0</x:v>
      </x:c>
      <x:c r="K82" s="39" t="n">
        <x:f>MAX(0,MIN($G82,20)-MAX($F82,16)+1)*$D82/$E82</x:f>
        <x:v>0</x:v>
      </x:c>
      <x:c r="L82" s="39" t="n">
        <x:f>MAX(0,MIN($G82,25)-MAX($F82,21)+1)*$D82/$E82</x:f>
        <x:v>0</x:v>
      </x:c>
      <x:c r="M82" s="39" t="n">
        <x:f>MAX(0,MIN($G82,30)-MAX($F82,26)+1)*$D82/$E82</x:f>
        <x:v>0</x:v>
      </x:c>
      <x:c r="N82" s="39" t="n">
        <x:f>MAX(0,MIN($G82,35)-MAX($F82,31)+1)*$D82/$E82</x:f>
        <x:v>0</x:v>
      </x:c>
      <x:c r="O82" s="39" t="n">
        <x:f>MAX(0,MIN($G82,40)-MAX($F82,36)+1)*$D82/$E82</x:f>
        <x:v>0</x:v>
      </x:c>
      <x:c r="P82" s="39" t="n">
        <x:f>MAX(0,MIN($G82,45)-MAX($F82,41)+1)*$D82/$E82</x:f>
        <x:v>0</x:v>
      </x:c>
      <x:c r="Q82" s="39" t="n">
        <x:f>MAX(0,MIN($G82,50)-MAX($F82,46)+1)*$D82/$E82</x:f>
        <x:v>10.285714285714286</x:v>
      </x:c>
      <x:c r="R82" s="39" t="n">
        <x:f>MAX(0,MIN($G82,55)-MAX($F82,51)+1)*$D82/$E82</x:f>
        <x:v>13.714285714285714</x:v>
      </x:c>
      <x:c r="S82" s="39" t="n">
        <x:f>MAX(0,MIN($G82,60)-MAX($F82,56)+1)*$D82/$E82</x:f>
        <x:v>0</x:v>
      </x:c>
      <x:c r="T82" s="39" t="n">
        <x:f>MAX(0,MIN($G82,65)-MAX($F82,61)+1)*$D82/$E82</x:f>
        <x:v>0</x:v>
      </x:c>
      <x:c r="U82" s="39" t="n">
        <x:f>MAX(0,MIN($G82,70)-MAX($F82,66)+1)*$D82/$E82</x:f>
        <x:v>0</x:v>
      </x:c>
      <x:c r="V82" s="39" t="n">
        <x:f>MAX(0,MIN($G82,75)-MAX($F82,71)+1)*$D82/$E82</x:f>
        <x:v>0</x:v>
      </x:c>
      <x:c r="W82" s="39" t="n">
        <x:f>MAX(0,MIN($G82,80)-MAX($F82,76)+1)*$D82/$E82</x:f>
        <x:v>0</x:v>
      </x:c>
      <x:c r="X82" s="39" t="n">
        <x:f>MAX(0,MIN($G82,85)-MAX($F82,81)+1)*$D82/$E82</x:f>
        <x:v>0</x:v>
      </x:c>
      <x:c r="Y82" s="39" t="n">
        <x:f>MAX(0,MIN($G82,90)-MAX($F82,86)+1)*$D82/$E82</x:f>
        <x:v>0</x:v>
      </x:c>
      <x:c r="Z82" s="39" t="n">
        <x:f>MAX(0,MIN($G82,95)-MAX($F82,91)+1)*$D82/$E82</x:f>
        <x:v>0</x:v>
      </x:c>
      <x:c r="AA82" s="39" t="n">
        <x:f>MAX(0,MIN($G82,100)-MAX($F82,96)+1)*$D82/$E82</x:f>
        <x:v>0</x:v>
      </x:c>
      <x:c r="AB82" s="39" t="n">
        <x:f>MAX(0,MIN($G82,105)-MAX($F82,101)+1)*$D82/$E82</x:f>
        <x:v>0</x:v>
      </x:c>
      <x:c r="AC82" s="39" t="n">
        <x:f>MAX(0,MIN($G82,110)-MAX($F82,106)+1)*$D82/$E82</x:f>
        <x:v>0</x:v>
      </x:c>
      <x:c r="AD82" s="39" t="n">
        <x:f>MAX(0,MIN($G82,115)-MAX($F82,111)+1)*$D82/$E82</x:f>
        <x:v>0</x:v>
      </x:c>
      <x:c r="AE82" s="39" t="n">
        <x:f>MAX(0,MIN($G82,120)-MAX($F82,116)+1)*$D82/$E82</x:f>
        <x:v>0</x:v>
      </x:c>
      <x:c r="AF82" s="39" t="n">
        <x:f>MAX(0,MIN($G82,125)-MAX($F82,121)+1)*$D82/$E82</x:f>
        <x:v>0</x:v>
      </x:c>
      <x:c r="AG82" s="39" t="n">
        <x:f>MAX(0,MIN($G82,130)-MAX($F82,126)+1)*$D82/$E82</x:f>
        <x:v>0</x:v>
      </x:c>
      <x:c r="AH82" s="39" t="n">
        <x:f>MAX(0,MIN($G82,135)-MAX($F82,131)+1)*$D82/$E82</x:f>
        <x:v>0</x:v>
      </x:c>
      <x:c r="AI82" s="39" t="n">
        <x:f>MAX(0,MIN($G82,140)-MAX($F82,136)+1)*$D82/$E82</x:f>
        <x:v>0</x:v>
      </x:c>
      <x:c r="AJ82" s="39" t="n">
        <x:f>MAX(0,MIN($G82,145)-MAX($F82,141)+1)*$D82/$E82</x:f>
        <x:v>0</x:v>
      </x:c>
      <x:c r="AK82" s="39" t="n">
        <x:f>MAX(0,MIN($G82,150)-MAX($F82,146)+1)*$D82/$E82</x:f>
        <x:v>0</x:v>
      </x:c>
      <x:c r="AL82" s="39" t="n">
        <x:f>MAX(0,MIN($G82,155)-MAX($F82,151)+1)*$D82/$E82</x:f>
        <x:v>0</x:v>
      </x:c>
      <x:c r="AM82" s="39" t="n">
        <x:f>MAX(0,MIN($G82,160)-MAX($F82,156)+1)*$D82/$E82</x:f>
        <x:v>0</x:v>
      </x:c>
      <x:c r="AN82" s="39" t="n">
        <x:f>MAX(0,MIN($G82,165)-MAX($F82,161)+1)*$D82/$E82</x:f>
        <x:v>0</x:v>
      </x:c>
      <x:c r="AO82" s="39" t="n">
        <x:f>MAX(0,MIN($G82,170)-MAX($F82,166)+1)*$D82/$E82</x:f>
        <x:v>0</x:v>
      </x:c>
      <x:c r="AP82" s="39" t="n">
        <x:f>MAX(0,MIN($G82,175)-MAX($F82,171)+1)*$D82/$E82</x:f>
        <x:v>0</x:v>
      </x:c>
      <x:c r="AQ82" s="39" t="n">
        <x:f>MAX(0,MIN($G82,180)-MAX($F82,176)+1)*$D82/$E82</x:f>
        <x:v>0</x:v>
      </x:c>
    </x:row>
    <x:row r="83" ht="27" customHeight="1">
      <x:c r="A83" s="9" t="str">
        <x:v>F01</x:v>
      </x:c>
      <x:c r="B83" s="9" t="str">
        <x:f>'Tasks'!P44</x:f>
        <x:v>EXP</x:v>
      </x:c>
      <x:c r="C83" s="9" t="str">
        <x:v>Review</x:v>
      </x:c>
      <x:c r="D83" s="40" t="n">
        <x:f>'Tasks'!Q44</x:f>
        <x:v>30</x:v>
      </x:c>
      <x:c r="E83" s="40" t="n">
        <x:f>'Tasks'!F44</x:f>
        <x:v>7</x:v>
      </x:c>
      <x:c r="F83" s="40" t="n">
        <x:f>'Tasks'!K44</x:f>
        <x:v>48</x:v>
      </x:c>
      <x:c r="G83" s="40" t="n">
        <x:f>'Tasks'!L44</x:f>
        <x:v>54</x:v>
      </x:c>
      <x:c r="H83" s="40" t="n">
        <x:f>MAX(0,MIN($G83,5)-MAX($F83,1)+1)*$D83/$E83</x:f>
        <x:v>0</x:v>
      </x:c>
      <x:c r="I83" s="40" t="n">
        <x:f>MAX(0,MIN($G83,10)-MAX($F83,6)+1)*$D83/$E83</x:f>
        <x:v>0</x:v>
      </x:c>
      <x:c r="J83" s="40" t="n">
        <x:f>MAX(0,MIN($G83,15)-MAX($F83,11)+1)*$D83/$E83</x:f>
        <x:v>0</x:v>
      </x:c>
      <x:c r="K83" s="40" t="n">
        <x:f>MAX(0,MIN($G83,20)-MAX($F83,16)+1)*$D83/$E83</x:f>
        <x:v>0</x:v>
      </x:c>
      <x:c r="L83" s="40" t="n">
        <x:f>MAX(0,MIN($G83,25)-MAX($F83,21)+1)*$D83/$E83</x:f>
        <x:v>0</x:v>
      </x:c>
      <x:c r="M83" s="40" t="n">
        <x:f>MAX(0,MIN($G83,30)-MAX($F83,26)+1)*$D83/$E83</x:f>
        <x:v>0</x:v>
      </x:c>
      <x:c r="N83" s="40" t="n">
        <x:f>MAX(0,MIN($G83,35)-MAX($F83,31)+1)*$D83/$E83</x:f>
        <x:v>0</x:v>
      </x:c>
      <x:c r="O83" s="40" t="n">
        <x:f>MAX(0,MIN($G83,40)-MAX($F83,36)+1)*$D83/$E83</x:f>
        <x:v>0</x:v>
      </x:c>
      <x:c r="P83" s="40" t="n">
        <x:f>MAX(0,MIN($G83,45)-MAX($F83,41)+1)*$D83/$E83</x:f>
        <x:v>0</x:v>
      </x:c>
      <x:c r="Q83" s="40" t="n">
        <x:f>MAX(0,MIN($G83,50)-MAX($F83,46)+1)*$D83/$E83</x:f>
        <x:v>12.857142857142858</x:v>
      </x:c>
      <x:c r="R83" s="40" t="n">
        <x:f>MAX(0,MIN($G83,55)-MAX($F83,51)+1)*$D83/$E83</x:f>
        <x:v>17.142857142857142</x:v>
      </x:c>
      <x:c r="S83" s="40" t="n">
        <x:f>MAX(0,MIN($G83,60)-MAX($F83,56)+1)*$D83/$E83</x:f>
        <x:v>0</x:v>
      </x:c>
      <x:c r="T83" s="40" t="n">
        <x:f>MAX(0,MIN($G83,65)-MAX($F83,61)+1)*$D83/$E83</x:f>
        <x:v>0</x:v>
      </x:c>
      <x:c r="U83" s="40" t="n">
        <x:f>MAX(0,MIN($G83,70)-MAX($F83,66)+1)*$D83/$E83</x:f>
        <x:v>0</x:v>
      </x:c>
      <x:c r="V83" s="40" t="n">
        <x:f>MAX(0,MIN($G83,75)-MAX($F83,71)+1)*$D83/$E83</x:f>
        <x:v>0</x:v>
      </x:c>
      <x:c r="W83" s="40" t="n">
        <x:f>MAX(0,MIN($G83,80)-MAX($F83,76)+1)*$D83/$E83</x:f>
        <x:v>0</x:v>
      </x:c>
      <x:c r="X83" s="40" t="n">
        <x:f>MAX(0,MIN($G83,85)-MAX($F83,81)+1)*$D83/$E83</x:f>
        <x:v>0</x:v>
      </x:c>
      <x:c r="Y83" s="40" t="n">
        <x:f>MAX(0,MIN($G83,90)-MAX($F83,86)+1)*$D83/$E83</x:f>
        <x:v>0</x:v>
      </x:c>
      <x:c r="Z83" s="40" t="n">
        <x:f>MAX(0,MIN($G83,95)-MAX($F83,91)+1)*$D83/$E83</x:f>
        <x:v>0</x:v>
      </x:c>
      <x:c r="AA83" s="40" t="n">
        <x:f>MAX(0,MIN($G83,100)-MAX($F83,96)+1)*$D83/$E83</x:f>
        <x:v>0</x:v>
      </x:c>
      <x:c r="AB83" s="40" t="n">
        <x:f>MAX(0,MIN($G83,105)-MAX($F83,101)+1)*$D83/$E83</x:f>
        <x:v>0</x:v>
      </x:c>
      <x:c r="AC83" s="40" t="n">
        <x:f>MAX(0,MIN($G83,110)-MAX($F83,106)+1)*$D83/$E83</x:f>
        <x:v>0</x:v>
      </x:c>
      <x:c r="AD83" s="40" t="n">
        <x:f>MAX(0,MIN($G83,115)-MAX($F83,111)+1)*$D83/$E83</x:f>
        <x:v>0</x:v>
      </x:c>
      <x:c r="AE83" s="40" t="n">
        <x:f>MAX(0,MIN($G83,120)-MAX($F83,116)+1)*$D83/$E83</x:f>
        <x:v>0</x:v>
      </x:c>
      <x:c r="AF83" s="40" t="n">
        <x:f>MAX(0,MIN($G83,125)-MAX($F83,121)+1)*$D83/$E83</x:f>
        <x:v>0</x:v>
      </x:c>
      <x:c r="AG83" s="40" t="n">
        <x:f>MAX(0,MIN($G83,130)-MAX($F83,126)+1)*$D83/$E83</x:f>
        <x:v>0</x:v>
      </x:c>
      <x:c r="AH83" s="40" t="n">
        <x:f>MAX(0,MIN($G83,135)-MAX($F83,131)+1)*$D83/$E83</x:f>
        <x:v>0</x:v>
      </x:c>
      <x:c r="AI83" s="40" t="n">
        <x:f>MAX(0,MIN($G83,140)-MAX($F83,136)+1)*$D83/$E83</x:f>
        <x:v>0</x:v>
      </x:c>
      <x:c r="AJ83" s="40" t="n">
        <x:f>MAX(0,MIN($G83,145)-MAX($F83,141)+1)*$D83/$E83</x:f>
        <x:v>0</x:v>
      </x:c>
      <x:c r="AK83" s="40" t="n">
        <x:f>MAX(0,MIN($G83,150)-MAX($F83,146)+1)*$D83/$E83</x:f>
        <x:v>0</x:v>
      </x:c>
      <x:c r="AL83" s="40" t="n">
        <x:f>MAX(0,MIN($G83,155)-MAX($F83,151)+1)*$D83/$E83</x:f>
        <x:v>0</x:v>
      </x:c>
      <x:c r="AM83" s="40" t="n">
        <x:f>MAX(0,MIN($G83,160)-MAX($F83,156)+1)*$D83/$E83</x:f>
        <x:v>0</x:v>
      </x:c>
      <x:c r="AN83" s="40" t="n">
        <x:f>MAX(0,MIN($G83,165)-MAX($F83,161)+1)*$D83/$E83</x:f>
        <x:v>0</x:v>
      </x:c>
      <x:c r="AO83" s="40" t="n">
        <x:f>MAX(0,MIN($G83,170)-MAX($F83,166)+1)*$D83/$E83</x:f>
        <x:v>0</x:v>
      </x:c>
      <x:c r="AP83" s="40" t="n">
        <x:f>MAX(0,MIN($G83,175)-MAX($F83,171)+1)*$D83/$E83</x:f>
        <x:v>0</x:v>
      </x:c>
      <x:c r="AQ83" s="40" t="n">
        <x:f>MAX(0,MIN($G83,180)-MAX($F83,176)+1)*$D83/$E83</x:f>
        <x:v>0</x:v>
      </x:c>
    </x:row>
    <x:row r="84" ht="27" customHeight="1">
      <x:c r="A84" s="10" t="str">
        <x:v>F02</x:v>
      </x:c>
      <x:c r="B84" s="10" t="str">
        <x:f>'Tasks'!D45</x:f>
        <x:v>HP</x:v>
      </x:c>
      <x:c r="C84" s="10" t="str">
        <x:v>Owner</x:v>
      </x:c>
      <x:c r="D84" s="39" t="n">
        <x:f>'Tasks'!O45</x:f>
        <x:v>10</x:v>
      </x:c>
      <x:c r="E84" s="39" t="n">
        <x:f>'Tasks'!F45</x:f>
        <x:v>2</x:v>
      </x:c>
      <x:c r="F84" s="39" t="n">
        <x:f>'Tasks'!K45</x:f>
        <x:v>58</x:v>
      </x:c>
      <x:c r="G84" s="39" t="n">
        <x:f>'Tasks'!L45</x:f>
        <x:v>59</x:v>
      </x:c>
      <x:c r="H84" s="39" t="n">
        <x:f>MAX(0,MIN($G84,5)-MAX($F84,1)+1)*$D84/$E84</x:f>
        <x:v>0</x:v>
      </x:c>
      <x:c r="I84" s="39" t="n">
        <x:f>MAX(0,MIN($G84,10)-MAX($F84,6)+1)*$D84/$E84</x:f>
        <x:v>0</x:v>
      </x:c>
      <x:c r="J84" s="39" t="n">
        <x:f>MAX(0,MIN($G84,15)-MAX($F84,11)+1)*$D84/$E84</x:f>
        <x:v>0</x:v>
      </x:c>
      <x:c r="K84" s="39" t="n">
        <x:f>MAX(0,MIN($G84,20)-MAX($F84,16)+1)*$D84/$E84</x:f>
        <x:v>0</x:v>
      </x:c>
      <x:c r="L84" s="39" t="n">
        <x:f>MAX(0,MIN($G84,25)-MAX($F84,21)+1)*$D84/$E84</x:f>
        <x:v>0</x:v>
      </x:c>
      <x:c r="M84" s="39" t="n">
        <x:f>MAX(0,MIN($G84,30)-MAX($F84,26)+1)*$D84/$E84</x:f>
        <x:v>0</x:v>
      </x:c>
      <x:c r="N84" s="39" t="n">
        <x:f>MAX(0,MIN($G84,35)-MAX($F84,31)+1)*$D84/$E84</x:f>
        <x:v>0</x:v>
      </x:c>
      <x:c r="O84" s="39" t="n">
        <x:f>MAX(0,MIN($G84,40)-MAX($F84,36)+1)*$D84/$E84</x:f>
        <x:v>0</x:v>
      </x:c>
      <x:c r="P84" s="39" t="n">
        <x:f>MAX(0,MIN($G84,45)-MAX($F84,41)+1)*$D84/$E84</x:f>
        <x:v>0</x:v>
      </x:c>
      <x:c r="Q84" s="39" t="n">
        <x:f>MAX(0,MIN($G84,50)-MAX($F84,46)+1)*$D84/$E84</x:f>
        <x:v>0</x:v>
      </x:c>
      <x:c r="R84" s="39" t="n">
        <x:f>MAX(0,MIN($G84,55)-MAX($F84,51)+1)*$D84/$E84</x:f>
        <x:v>0</x:v>
      </x:c>
      <x:c r="S84" s="39" t="n">
        <x:f>MAX(0,MIN($G84,60)-MAX($F84,56)+1)*$D84/$E84</x:f>
        <x:v>10</x:v>
      </x:c>
      <x:c r="T84" s="39" t="n">
        <x:f>MAX(0,MIN($G84,65)-MAX($F84,61)+1)*$D84/$E84</x:f>
        <x:v>0</x:v>
      </x:c>
      <x:c r="U84" s="39" t="n">
        <x:f>MAX(0,MIN($G84,70)-MAX($F84,66)+1)*$D84/$E84</x:f>
        <x:v>0</x:v>
      </x:c>
      <x:c r="V84" s="39" t="n">
        <x:f>MAX(0,MIN($G84,75)-MAX($F84,71)+1)*$D84/$E84</x:f>
        <x:v>0</x:v>
      </x:c>
      <x:c r="W84" s="39" t="n">
        <x:f>MAX(0,MIN($G84,80)-MAX($F84,76)+1)*$D84/$E84</x:f>
        <x:v>0</x:v>
      </x:c>
      <x:c r="X84" s="39" t="n">
        <x:f>MAX(0,MIN($G84,85)-MAX($F84,81)+1)*$D84/$E84</x:f>
        <x:v>0</x:v>
      </x:c>
      <x:c r="Y84" s="39" t="n">
        <x:f>MAX(0,MIN($G84,90)-MAX($F84,86)+1)*$D84/$E84</x:f>
        <x:v>0</x:v>
      </x:c>
      <x:c r="Z84" s="39" t="n">
        <x:f>MAX(0,MIN($G84,95)-MAX($F84,91)+1)*$D84/$E84</x:f>
        <x:v>0</x:v>
      </x:c>
      <x:c r="AA84" s="39" t="n">
        <x:f>MAX(0,MIN($G84,100)-MAX($F84,96)+1)*$D84/$E84</x:f>
        <x:v>0</x:v>
      </x:c>
      <x:c r="AB84" s="39" t="n">
        <x:f>MAX(0,MIN($G84,105)-MAX($F84,101)+1)*$D84/$E84</x:f>
        <x:v>0</x:v>
      </x:c>
      <x:c r="AC84" s="39" t="n">
        <x:f>MAX(0,MIN($G84,110)-MAX($F84,106)+1)*$D84/$E84</x:f>
        <x:v>0</x:v>
      </x:c>
      <x:c r="AD84" s="39" t="n">
        <x:f>MAX(0,MIN($G84,115)-MAX($F84,111)+1)*$D84/$E84</x:f>
        <x:v>0</x:v>
      </x:c>
      <x:c r="AE84" s="39" t="n">
        <x:f>MAX(0,MIN($G84,120)-MAX($F84,116)+1)*$D84/$E84</x:f>
        <x:v>0</x:v>
      </x:c>
      <x:c r="AF84" s="39" t="n">
        <x:f>MAX(0,MIN($G84,125)-MAX($F84,121)+1)*$D84/$E84</x:f>
        <x:v>0</x:v>
      </x:c>
      <x:c r="AG84" s="39" t="n">
        <x:f>MAX(0,MIN($G84,130)-MAX($F84,126)+1)*$D84/$E84</x:f>
        <x:v>0</x:v>
      </x:c>
      <x:c r="AH84" s="39" t="n">
        <x:f>MAX(0,MIN($G84,135)-MAX($F84,131)+1)*$D84/$E84</x:f>
        <x:v>0</x:v>
      </x:c>
      <x:c r="AI84" s="39" t="n">
        <x:f>MAX(0,MIN($G84,140)-MAX($F84,136)+1)*$D84/$E84</x:f>
        <x:v>0</x:v>
      </x:c>
      <x:c r="AJ84" s="39" t="n">
        <x:f>MAX(0,MIN($G84,145)-MAX($F84,141)+1)*$D84/$E84</x:f>
        <x:v>0</x:v>
      </x:c>
      <x:c r="AK84" s="39" t="n">
        <x:f>MAX(0,MIN($G84,150)-MAX($F84,146)+1)*$D84/$E84</x:f>
        <x:v>0</x:v>
      </x:c>
      <x:c r="AL84" s="39" t="n">
        <x:f>MAX(0,MIN($G84,155)-MAX($F84,151)+1)*$D84/$E84</x:f>
        <x:v>0</x:v>
      </x:c>
      <x:c r="AM84" s="39" t="n">
        <x:f>MAX(0,MIN($G84,160)-MAX($F84,156)+1)*$D84/$E84</x:f>
        <x:v>0</x:v>
      </x:c>
      <x:c r="AN84" s="39" t="n">
        <x:f>MAX(0,MIN($G84,165)-MAX($F84,161)+1)*$D84/$E84</x:f>
        <x:v>0</x:v>
      </x:c>
      <x:c r="AO84" s="39" t="n">
        <x:f>MAX(0,MIN($G84,170)-MAX($F84,166)+1)*$D84/$E84</x:f>
        <x:v>0</x:v>
      </x:c>
      <x:c r="AP84" s="39" t="n">
        <x:f>MAX(0,MIN($G84,175)-MAX($F84,171)+1)*$D84/$E84</x:f>
        <x:v>0</x:v>
      </x:c>
      <x:c r="AQ84" s="39" t="n">
        <x:f>MAX(0,MIN($G84,180)-MAX($F84,176)+1)*$D84/$E84</x:f>
        <x:v>0</x:v>
      </x:c>
    </x:row>
    <x:row r="85" ht="27" customHeight="1">
      <x:c r="A85" s="9" t="str">
        <x:v>F02</x:v>
      </x:c>
      <x:c r="B85" s="9" t="str">
        <x:f>'Tasks'!P45</x:f>
        <x:v>TD</x:v>
      </x:c>
      <x:c r="C85" s="9" t="str">
        <x:v>Review</x:v>
      </x:c>
      <x:c r="D85" s="40" t="n">
        <x:f>'Tasks'!Q45</x:f>
        <x:v>4</x:v>
      </x:c>
      <x:c r="E85" s="40" t="n">
        <x:f>'Tasks'!F45</x:f>
        <x:v>2</x:v>
      </x:c>
      <x:c r="F85" s="40" t="n">
        <x:f>'Tasks'!K45</x:f>
        <x:v>58</x:v>
      </x:c>
      <x:c r="G85" s="40" t="n">
        <x:f>'Tasks'!L45</x:f>
        <x:v>59</x:v>
      </x:c>
      <x:c r="H85" s="40" t="n">
        <x:f>MAX(0,MIN($G85,5)-MAX($F85,1)+1)*$D85/$E85</x:f>
        <x:v>0</x:v>
      </x:c>
      <x:c r="I85" s="40" t="n">
        <x:f>MAX(0,MIN($G85,10)-MAX($F85,6)+1)*$D85/$E85</x:f>
        <x:v>0</x:v>
      </x:c>
      <x:c r="J85" s="40" t="n">
        <x:f>MAX(0,MIN($G85,15)-MAX($F85,11)+1)*$D85/$E85</x:f>
        <x:v>0</x:v>
      </x:c>
      <x:c r="K85" s="40" t="n">
        <x:f>MAX(0,MIN($G85,20)-MAX($F85,16)+1)*$D85/$E85</x:f>
        <x:v>0</x:v>
      </x:c>
      <x:c r="L85" s="40" t="n">
        <x:f>MAX(0,MIN($G85,25)-MAX($F85,21)+1)*$D85/$E85</x:f>
        <x:v>0</x:v>
      </x:c>
      <x:c r="M85" s="40" t="n">
        <x:f>MAX(0,MIN($G85,30)-MAX($F85,26)+1)*$D85/$E85</x:f>
        <x:v>0</x:v>
      </x:c>
      <x:c r="N85" s="40" t="n">
        <x:f>MAX(0,MIN($G85,35)-MAX($F85,31)+1)*$D85/$E85</x:f>
        <x:v>0</x:v>
      </x:c>
      <x:c r="O85" s="40" t="n">
        <x:f>MAX(0,MIN($G85,40)-MAX($F85,36)+1)*$D85/$E85</x:f>
        <x:v>0</x:v>
      </x:c>
      <x:c r="P85" s="40" t="n">
        <x:f>MAX(0,MIN($G85,45)-MAX($F85,41)+1)*$D85/$E85</x:f>
        <x:v>0</x:v>
      </x:c>
      <x:c r="Q85" s="40" t="n">
        <x:f>MAX(0,MIN($G85,50)-MAX($F85,46)+1)*$D85/$E85</x:f>
        <x:v>0</x:v>
      </x:c>
      <x:c r="R85" s="40" t="n">
        <x:f>MAX(0,MIN($G85,55)-MAX($F85,51)+1)*$D85/$E85</x:f>
        <x:v>0</x:v>
      </x:c>
      <x:c r="S85" s="40" t="n">
        <x:f>MAX(0,MIN($G85,60)-MAX($F85,56)+1)*$D85/$E85</x:f>
        <x:v>4</x:v>
      </x:c>
      <x:c r="T85" s="40" t="n">
        <x:f>MAX(0,MIN($G85,65)-MAX($F85,61)+1)*$D85/$E85</x:f>
        <x:v>0</x:v>
      </x:c>
      <x:c r="U85" s="40" t="n">
        <x:f>MAX(0,MIN($G85,70)-MAX($F85,66)+1)*$D85/$E85</x:f>
        <x:v>0</x:v>
      </x:c>
      <x:c r="V85" s="40" t="n">
        <x:f>MAX(0,MIN($G85,75)-MAX($F85,71)+1)*$D85/$E85</x:f>
        <x:v>0</x:v>
      </x:c>
      <x:c r="W85" s="40" t="n">
        <x:f>MAX(0,MIN($G85,80)-MAX($F85,76)+1)*$D85/$E85</x:f>
        <x:v>0</x:v>
      </x:c>
      <x:c r="X85" s="40" t="n">
        <x:f>MAX(0,MIN($G85,85)-MAX($F85,81)+1)*$D85/$E85</x:f>
        <x:v>0</x:v>
      </x:c>
      <x:c r="Y85" s="40" t="n">
        <x:f>MAX(0,MIN($G85,90)-MAX($F85,86)+1)*$D85/$E85</x:f>
        <x:v>0</x:v>
      </x:c>
      <x:c r="Z85" s="40" t="n">
        <x:f>MAX(0,MIN($G85,95)-MAX($F85,91)+1)*$D85/$E85</x:f>
        <x:v>0</x:v>
      </x:c>
      <x:c r="AA85" s="40" t="n">
        <x:f>MAX(0,MIN($G85,100)-MAX($F85,96)+1)*$D85/$E85</x:f>
        <x:v>0</x:v>
      </x:c>
      <x:c r="AB85" s="40" t="n">
        <x:f>MAX(0,MIN($G85,105)-MAX($F85,101)+1)*$D85/$E85</x:f>
        <x:v>0</x:v>
      </x:c>
      <x:c r="AC85" s="40" t="n">
        <x:f>MAX(0,MIN($G85,110)-MAX($F85,106)+1)*$D85/$E85</x:f>
        <x:v>0</x:v>
      </x:c>
      <x:c r="AD85" s="40" t="n">
        <x:f>MAX(0,MIN($G85,115)-MAX($F85,111)+1)*$D85/$E85</x:f>
        <x:v>0</x:v>
      </x:c>
      <x:c r="AE85" s="40" t="n">
        <x:f>MAX(0,MIN($G85,120)-MAX($F85,116)+1)*$D85/$E85</x:f>
        <x:v>0</x:v>
      </x:c>
      <x:c r="AF85" s="40" t="n">
        <x:f>MAX(0,MIN($G85,125)-MAX($F85,121)+1)*$D85/$E85</x:f>
        <x:v>0</x:v>
      </x:c>
      <x:c r="AG85" s="40" t="n">
        <x:f>MAX(0,MIN($G85,130)-MAX($F85,126)+1)*$D85/$E85</x:f>
        <x:v>0</x:v>
      </x:c>
      <x:c r="AH85" s="40" t="n">
        <x:f>MAX(0,MIN($G85,135)-MAX($F85,131)+1)*$D85/$E85</x:f>
        <x:v>0</x:v>
      </x:c>
      <x:c r="AI85" s="40" t="n">
        <x:f>MAX(0,MIN($G85,140)-MAX($F85,136)+1)*$D85/$E85</x:f>
        <x:v>0</x:v>
      </x:c>
      <x:c r="AJ85" s="40" t="n">
        <x:f>MAX(0,MIN($G85,145)-MAX($F85,141)+1)*$D85/$E85</x:f>
        <x:v>0</x:v>
      </x:c>
      <x:c r="AK85" s="40" t="n">
        <x:f>MAX(0,MIN($G85,150)-MAX($F85,146)+1)*$D85/$E85</x:f>
        <x:v>0</x:v>
      </x:c>
      <x:c r="AL85" s="40" t="n">
        <x:f>MAX(0,MIN($G85,155)-MAX($F85,151)+1)*$D85/$E85</x:f>
        <x:v>0</x:v>
      </x:c>
      <x:c r="AM85" s="40" t="n">
        <x:f>MAX(0,MIN($G85,160)-MAX($F85,156)+1)*$D85/$E85</x:f>
        <x:v>0</x:v>
      </x:c>
      <x:c r="AN85" s="40" t="n">
        <x:f>MAX(0,MIN($G85,165)-MAX($F85,161)+1)*$D85/$E85</x:f>
        <x:v>0</x:v>
      </x:c>
      <x:c r="AO85" s="40" t="n">
        <x:f>MAX(0,MIN($G85,170)-MAX($F85,166)+1)*$D85/$E85</x:f>
        <x:v>0</x:v>
      </x:c>
      <x:c r="AP85" s="40" t="n">
        <x:f>MAX(0,MIN($G85,175)-MAX($F85,171)+1)*$D85/$E85</x:f>
        <x:v>0</x:v>
      </x:c>
      <x:c r="AQ85" s="40" t="n">
        <x:f>MAX(0,MIN($G85,180)-MAX($F85,176)+1)*$D85/$E85</x:f>
        <x:v>0</x:v>
      </x:c>
    </x:row>
    <x:row r="86" ht="27" customHeight="1">
      <x:c r="A86" s="10" t="str">
        <x:v>G2</x:v>
      </x:c>
      <x:c r="B86" s="10" t="str">
        <x:f>'Tasks'!D46</x:f>
        <x:v>MD</x:v>
      </x:c>
      <x:c r="C86" s="10" t="str">
        <x:v>Owner</x:v>
      </x:c>
      <x:c r="D86" s="39" t="n">
        <x:f>'Tasks'!O46</x:f>
        <x:v>4</x:v>
      </x:c>
      <x:c r="E86" s="39" t="n">
        <x:f>'Tasks'!F46</x:f>
        <x:v>1</x:v>
      </x:c>
      <x:c r="F86" s="39" t="n">
        <x:f>'Tasks'!K46</x:f>
        <x:v>60</x:v>
      </x:c>
      <x:c r="G86" s="39" t="n">
        <x:f>'Tasks'!L46</x:f>
        <x:v>60</x:v>
      </x:c>
      <x:c r="H86" s="39" t="n">
        <x:f>MAX(0,MIN($G86,5)-MAX($F86,1)+1)*$D86/$E86</x:f>
        <x:v>0</x:v>
      </x:c>
      <x:c r="I86" s="39" t="n">
        <x:f>MAX(0,MIN($G86,10)-MAX($F86,6)+1)*$D86/$E86</x:f>
        <x:v>0</x:v>
      </x:c>
      <x:c r="J86" s="39" t="n">
        <x:f>MAX(0,MIN($G86,15)-MAX($F86,11)+1)*$D86/$E86</x:f>
        <x:v>0</x:v>
      </x:c>
      <x:c r="K86" s="39" t="n">
        <x:f>MAX(0,MIN($G86,20)-MAX($F86,16)+1)*$D86/$E86</x:f>
        <x:v>0</x:v>
      </x:c>
      <x:c r="L86" s="39" t="n">
        <x:f>MAX(0,MIN($G86,25)-MAX($F86,21)+1)*$D86/$E86</x:f>
        <x:v>0</x:v>
      </x:c>
      <x:c r="M86" s="39" t="n">
        <x:f>MAX(0,MIN($G86,30)-MAX($F86,26)+1)*$D86/$E86</x:f>
        <x:v>0</x:v>
      </x:c>
      <x:c r="N86" s="39" t="n">
        <x:f>MAX(0,MIN($G86,35)-MAX($F86,31)+1)*$D86/$E86</x:f>
        <x:v>0</x:v>
      </x:c>
      <x:c r="O86" s="39" t="n">
        <x:f>MAX(0,MIN($G86,40)-MAX($F86,36)+1)*$D86/$E86</x:f>
        <x:v>0</x:v>
      </x:c>
      <x:c r="P86" s="39" t="n">
        <x:f>MAX(0,MIN($G86,45)-MAX($F86,41)+1)*$D86/$E86</x:f>
        <x:v>0</x:v>
      </x:c>
      <x:c r="Q86" s="39" t="n">
        <x:f>MAX(0,MIN($G86,50)-MAX($F86,46)+1)*$D86/$E86</x:f>
        <x:v>0</x:v>
      </x:c>
      <x:c r="R86" s="39" t="n">
        <x:f>MAX(0,MIN($G86,55)-MAX($F86,51)+1)*$D86/$E86</x:f>
        <x:v>0</x:v>
      </x:c>
      <x:c r="S86" s="39" t="n">
        <x:f>MAX(0,MIN($G86,60)-MAX($F86,56)+1)*$D86/$E86</x:f>
        <x:v>4</x:v>
      </x:c>
      <x:c r="T86" s="39" t="n">
        <x:f>MAX(0,MIN($G86,65)-MAX($F86,61)+1)*$D86/$E86</x:f>
        <x:v>0</x:v>
      </x:c>
      <x:c r="U86" s="39" t="n">
        <x:f>MAX(0,MIN($G86,70)-MAX($F86,66)+1)*$D86/$E86</x:f>
        <x:v>0</x:v>
      </x:c>
      <x:c r="V86" s="39" t="n">
        <x:f>MAX(0,MIN($G86,75)-MAX($F86,71)+1)*$D86/$E86</x:f>
        <x:v>0</x:v>
      </x:c>
      <x:c r="W86" s="39" t="n">
        <x:f>MAX(0,MIN($G86,80)-MAX($F86,76)+1)*$D86/$E86</x:f>
        <x:v>0</x:v>
      </x:c>
      <x:c r="X86" s="39" t="n">
        <x:f>MAX(0,MIN($G86,85)-MAX($F86,81)+1)*$D86/$E86</x:f>
        <x:v>0</x:v>
      </x:c>
      <x:c r="Y86" s="39" t="n">
        <x:f>MAX(0,MIN($G86,90)-MAX($F86,86)+1)*$D86/$E86</x:f>
        <x:v>0</x:v>
      </x:c>
      <x:c r="Z86" s="39" t="n">
        <x:f>MAX(0,MIN($G86,95)-MAX($F86,91)+1)*$D86/$E86</x:f>
        <x:v>0</x:v>
      </x:c>
      <x:c r="AA86" s="39" t="n">
        <x:f>MAX(0,MIN($G86,100)-MAX($F86,96)+1)*$D86/$E86</x:f>
        <x:v>0</x:v>
      </x:c>
      <x:c r="AB86" s="39" t="n">
        <x:f>MAX(0,MIN($G86,105)-MAX($F86,101)+1)*$D86/$E86</x:f>
        <x:v>0</x:v>
      </x:c>
      <x:c r="AC86" s="39" t="n">
        <x:f>MAX(0,MIN($G86,110)-MAX($F86,106)+1)*$D86/$E86</x:f>
        <x:v>0</x:v>
      </x:c>
      <x:c r="AD86" s="39" t="n">
        <x:f>MAX(0,MIN($G86,115)-MAX($F86,111)+1)*$D86/$E86</x:f>
        <x:v>0</x:v>
      </x:c>
      <x:c r="AE86" s="39" t="n">
        <x:f>MAX(0,MIN($G86,120)-MAX($F86,116)+1)*$D86/$E86</x:f>
        <x:v>0</x:v>
      </x:c>
      <x:c r="AF86" s="39" t="n">
        <x:f>MAX(0,MIN($G86,125)-MAX($F86,121)+1)*$D86/$E86</x:f>
        <x:v>0</x:v>
      </x:c>
      <x:c r="AG86" s="39" t="n">
        <x:f>MAX(0,MIN($G86,130)-MAX($F86,126)+1)*$D86/$E86</x:f>
        <x:v>0</x:v>
      </x:c>
      <x:c r="AH86" s="39" t="n">
        <x:f>MAX(0,MIN($G86,135)-MAX($F86,131)+1)*$D86/$E86</x:f>
        <x:v>0</x:v>
      </x:c>
      <x:c r="AI86" s="39" t="n">
        <x:f>MAX(0,MIN($G86,140)-MAX($F86,136)+1)*$D86/$E86</x:f>
        <x:v>0</x:v>
      </x:c>
      <x:c r="AJ86" s="39" t="n">
        <x:f>MAX(0,MIN($G86,145)-MAX($F86,141)+1)*$D86/$E86</x:f>
        <x:v>0</x:v>
      </x:c>
      <x:c r="AK86" s="39" t="n">
        <x:f>MAX(0,MIN($G86,150)-MAX($F86,146)+1)*$D86/$E86</x:f>
        <x:v>0</x:v>
      </x:c>
      <x:c r="AL86" s="39" t="n">
        <x:f>MAX(0,MIN($G86,155)-MAX($F86,151)+1)*$D86/$E86</x:f>
        <x:v>0</x:v>
      </x:c>
      <x:c r="AM86" s="39" t="n">
        <x:f>MAX(0,MIN($G86,160)-MAX($F86,156)+1)*$D86/$E86</x:f>
        <x:v>0</x:v>
      </x:c>
      <x:c r="AN86" s="39" t="n">
        <x:f>MAX(0,MIN($G86,165)-MAX($F86,161)+1)*$D86/$E86</x:f>
        <x:v>0</x:v>
      </x:c>
      <x:c r="AO86" s="39" t="n">
        <x:f>MAX(0,MIN($G86,170)-MAX($F86,166)+1)*$D86/$E86</x:f>
        <x:v>0</x:v>
      </x:c>
      <x:c r="AP86" s="39" t="n">
        <x:f>MAX(0,MIN($G86,175)-MAX($F86,171)+1)*$D86/$E86</x:f>
        <x:v>0</x:v>
      </x:c>
      <x:c r="AQ86" s="39" t="n">
        <x:f>MAX(0,MIN($G86,180)-MAX($F86,176)+1)*$D86/$E86</x:f>
        <x:v>0</x:v>
      </x:c>
    </x:row>
    <x:row r="87" ht="27" customHeight="1">
      <x:c r="A87" s="9" t="str">
        <x:v>G2</x:v>
      </x:c>
      <x:c r="B87" s="9" t="str">
        <x:f>'Tasks'!P46</x:f>
        <x:v>HP</x:v>
      </x:c>
      <x:c r="C87" s="9" t="str">
        <x:v>Review</x:v>
      </x:c>
      <x:c r="D87" s="40" t="n">
        <x:f>'Tasks'!Q46</x:f>
        <x:v>3</x:v>
      </x:c>
      <x:c r="E87" s="40" t="n">
        <x:f>'Tasks'!F46</x:f>
        <x:v>1</x:v>
      </x:c>
      <x:c r="F87" s="40" t="n">
        <x:f>'Tasks'!K46</x:f>
        <x:v>60</x:v>
      </x:c>
      <x:c r="G87" s="40" t="n">
        <x:f>'Tasks'!L46</x:f>
        <x:v>60</x:v>
      </x:c>
      <x:c r="H87" s="40" t="n">
        <x:f>MAX(0,MIN($G87,5)-MAX($F87,1)+1)*$D87/$E87</x:f>
        <x:v>0</x:v>
      </x:c>
      <x:c r="I87" s="40" t="n">
        <x:f>MAX(0,MIN($G87,10)-MAX($F87,6)+1)*$D87/$E87</x:f>
        <x:v>0</x:v>
      </x:c>
      <x:c r="J87" s="40" t="n">
        <x:f>MAX(0,MIN($G87,15)-MAX($F87,11)+1)*$D87/$E87</x:f>
        <x:v>0</x:v>
      </x:c>
      <x:c r="K87" s="40" t="n">
        <x:f>MAX(0,MIN($G87,20)-MAX($F87,16)+1)*$D87/$E87</x:f>
        <x:v>0</x:v>
      </x:c>
      <x:c r="L87" s="40" t="n">
        <x:f>MAX(0,MIN($G87,25)-MAX($F87,21)+1)*$D87/$E87</x:f>
        <x:v>0</x:v>
      </x:c>
      <x:c r="M87" s="40" t="n">
        <x:f>MAX(0,MIN($G87,30)-MAX($F87,26)+1)*$D87/$E87</x:f>
        <x:v>0</x:v>
      </x:c>
      <x:c r="N87" s="40" t="n">
        <x:f>MAX(0,MIN($G87,35)-MAX($F87,31)+1)*$D87/$E87</x:f>
        <x:v>0</x:v>
      </x:c>
      <x:c r="O87" s="40" t="n">
        <x:f>MAX(0,MIN($G87,40)-MAX($F87,36)+1)*$D87/$E87</x:f>
        <x:v>0</x:v>
      </x:c>
      <x:c r="P87" s="40" t="n">
        <x:f>MAX(0,MIN($G87,45)-MAX($F87,41)+1)*$D87/$E87</x:f>
        <x:v>0</x:v>
      </x:c>
      <x:c r="Q87" s="40" t="n">
        <x:f>MAX(0,MIN($G87,50)-MAX($F87,46)+1)*$D87/$E87</x:f>
        <x:v>0</x:v>
      </x:c>
      <x:c r="R87" s="40" t="n">
        <x:f>MAX(0,MIN($G87,55)-MAX($F87,51)+1)*$D87/$E87</x:f>
        <x:v>0</x:v>
      </x:c>
      <x:c r="S87" s="40" t="n">
        <x:f>MAX(0,MIN($G87,60)-MAX($F87,56)+1)*$D87/$E87</x:f>
        <x:v>3</x:v>
      </x:c>
      <x:c r="T87" s="40" t="n">
        <x:f>MAX(0,MIN($G87,65)-MAX($F87,61)+1)*$D87/$E87</x:f>
        <x:v>0</x:v>
      </x:c>
      <x:c r="U87" s="40" t="n">
        <x:f>MAX(0,MIN($G87,70)-MAX($F87,66)+1)*$D87/$E87</x:f>
        <x:v>0</x:v>
      </x:c>
      <x:c r="V87" s="40" t="n">
        <x:f>MAX(0,MIN($G87,75)-MAX($F87,71)+1)*$D87/$E87</x:f>
        <x:v>0</x:v>
      </x:c>
      <x:c r="W87" s="40" t="n">
        <x:f>MAX(0,MIN($G87,80)-MAX($F87,76)+1)*$D87/$E87</x:f>
        <x:v>0</x:v>
      </x:c>
      <x:c r="X87" s="40" t="n">
        <x:f>MAX(0,MIN($G87,85)-MAX($F87,81)+1)*$D87/$E87</x:f>
        <x:v>0</x:v>
      </x:c>
      <x:c r="Y87" s="40" t="n">
        <x:f>MAX(0,MIN($G87,90)-MAX($F87,86)+1)*$D87/$E87</x:f>
        <x:v>0</x:v>
      </x:c>
      <x:c r="Z87" s="40" t="n">
        <x:f>MAX(0,MIN($G87,95)-MAX($F87,91)+1)*$D87/$E87</x:f>
        <x:v>0</x:v>
      </x:c>
      <x:c r="AA87" s="40" t="n">
        <x:f>MAX(0,MIN($G87,100)-MAX($F87,96)+1)*$D87/$E87</x:f>
        <x:v>0</x:v>
      </x:c>
      <x:c r="AB87" s="40" t="n">
        <x:f>MAX(0,MIN($G87,105)-MAX($F87,101)+1)*$D87/$E87</x:f>
        <x:v>0</x:v>
      </x:c>
      <x:c r="AC87" s="40" t="n">
        <x:f>MAX(0,MIN($G87,110)-MAX($F87,106)+1)*$D87/$E87</x:f>
        <x:v>0</x:v>
      </x:c>
      <x:c r="AD87" s="40" t="n">
        <x:f>MAX(0,MIN($G87,115)-MAX($F87,111)+1)*$D87/$E87</x:f>
        <x:v>0</x:v>
      </x:c>
      <x:c r="AE87" s="40" t="n">
        <x:f>MAX(0,MIN($G87,120)-MAX($F87,116)+1)*$D87/$E87</x:f>
        <x:v>0</x:v>
      </x:c>
      <x:c r="AF87" s="40" t="n">
        <x:f>MAX(0,MIN($G87,125)-MAX($F87,121)+1)*$D87/$E87</x:f>
        <x:v>0</x:v>
      </x:c>
      <x:c r="AG87" s="40" t="n">
        <x:f>MAX(0,MIN($G87,130)-MAX($F87,126)+1)*$D87/$E87</x:f>
        <x:v>0</x:v>
      </x:c>
      <x:c r="AH87" s="40" t="n">
        <x:f>MAX(0,MIN($G87,135)-MAX($F87,131)+1)*$D87/$E87</x:f>
        <x:v>0</x:v>
      </x:c>
      <x:c r="AI87" s="40" t="n">
        <x:f>MAX(0,MIN($G87,140)-MAX($F87,136)+1)*$D87/$E87</x:f>
        <x:v>0</x:v>
      </x:c>
      <x:c r="AJ87" s="40" t="n">
        <x:f>MAX(0,MIN($G87,145)-MAX($F87,141)+1)*$D87/$E87</x:f>
        <x:v>0</x:v>
      </x:c>
      <x:c r="AK87" s="40" t="n">
        <x:f>MAX(0,MIN($G87,150)-MAX($F87,146)+1)*$D87/$E87</x:f>
        <x:v>0</x:v>
      </x:c>
      <x:c r="AL87" s="40" t="n">
        <x:f>MAX(0,MIN($G87,155)-MAX($F87,151)+1)*$D87/$E87</x:f>
        <x:v>0</x:v>
      </x:c>
      <x:c r="AM87" s="40" t="n">
        <x:f>MAX(0,MIN($G87,160)-MAX($F87,156)+1)*$D87/$E87</x:f>
        <x:v>0</x:v>
      </x:c>
      <x:c r="AN87" s="40" t="n">
        <x:f>MAX(0,MIN($G87,165)-MAX($F87,161)+1)*$D87/$E87</x:f>
        <x:v>0</x:v>
      </x:c>
      <x:c r="AO87" s="40" t="n">
        <x:f>MAX(0,MIN($G87,170)-MAX($F87,166)+1)*$D87/$E87</x:f>
        <x:v>0</x:v>
      </x:c>
      <x:c r="AP87" s="40" t="n">
        <x:f>MAX(0,MIN($G87,175)-MAX($F87,171)+1)*$D87/$E87</x:f>
        <x:v>0</x:v>
      </x:c>
      <x:c r="AQ87" s="40" t="n">
        <x:f>MAX(0,MIN($G87,180)-MAX($F87,176)+1)*$D87/$E87</x:f>
        <x:v>0</x:v>
      </x:c>
    </x:row>
    <x:row r="88" ht="27" customHeight="1">
      <x:c r="A88" s="10" t="str">
        <x:v>D05</x:v>
      </x:c>
      <x:c r="B88" s="10" t="str">
        <x:f>'Tasks'!D47</x:f>
        <x:v>KE</x:v>
      </x:c>
      <x:c r="C88" s="10" t="str">
        <x:v>Owner</x:v>
      </x:c>
      <x:c r="D88" s="39" t="n">
        <x:f>'Tasks'!O47</x:f>
        <x:v>80</x:v>
      </x:c>
      <x:c r="E88" s="39" t="n">
        <x:f>'Tasks'!F47</x:f>
        <x:v>25</x:v>
      </x:c>
      <x:c r="F88" s="39" t="n">
        <x:f>'Tasks'!K47</x:f>
        <x:v>48</x:v>
      </x:c>
      <x:c r="G88" s="39" t="n">
        <x:f>'Tasks'!L47</x:f>
        <x:v>72</x:v>
      </x:c>
      <x:c r="H88" s="39" t="n">
        <x:f>MAX(0,MIN($G88,5)-MAX($F88,1)+1)*$D88/$E88</x:f>
        <x:v>0</x:v>
      </x:c>
      <x:c r="I88" s="39" t="n">
        <x:f>MAX(0,MIN($G88,10)-MAX($F88,6)+1)*$D88/$E88</x:f>
        <x:v>0</x:v>
      </x:c>
      <x:c r="J88" s="39" t="n">
        <x:f>MAX(0,MIN($G88,15)-MAX($F88,11)+1)*$D88/$E88</x:f>
        <x:v>0</x:v>
      </x:c>
      <x:c r="K88" s="39" t="n">
        <x:f>MAX(0,MIN($G88,20)-MAX($F88,16)+1)*$D88/$E88</x:f>
        <x:v>0</x:v>
      </x:c>
      <x:c r="L88" s="39" t="n">
        <x:f>MAX(0,MIN($G88,25)-MAX($F88,21)+1)*$D88/$E88</x:f>
        <x:v>0</x:v>
      </x:c>
      <x:c r="M88" s="39" t="n">
        <x:f>MAX(0,MIN($G88,30)-MAX($F88,26)+1)*$D88/$E88</x:f>
        <x:v>0</x:v>
      </x:c>
      <x:c r="N88" s="39" t="n">
        <x:f>MAX(0,MIN($G88,35)-MAX($F88,31)+1)*$D88/$E88</x:f>
        <x:v>0</x:v>
      </x:c>
      <x:c r="O88" s="39" t="n">
        <x:f>MAX(0,MIN($G88,40)-MAX($F88,36)+1)*$D88/$E88</x:f>
        <x:v>0</x:v>
      </x:c>
      <x:c r="P88" s="39" t="n">
        <x:f>MAX(0,MIN($G88,45)-MAX($F88,41)+1)*$D88/$E88</x:f>
        <x:v>0</x:v>
      </x:c>
      <x:c r="Q88" s="39" t="n">
        <x:f>MAX(0,MIN($G88,50)-MAX($F88,46)+1)*$D88/$E88</x:f>
        <x:v>9.6</x:v>
      </x:c>
      <x:c r="R88" s="39" t="n">
        <x:f>MAX(0,MIN($G88,55)-MAX($F88,51)+1)*$D88/$E88</x:f>
        <x:v>16</x:v>
      </x:c>
      <x:c r="S88" s="39" t="n">
        <x:f>MAX(0,MIN($G88,60)-MAX($F88,56)+1)*$D88/$E88</x:f>
        <x:v>16</x:v>
      </x:c>
      <x:c r="T88" s="39" t="n">
        <x:f>MAX(0,MIN($G88,65)-MAX($F88,61)+1)*$D88/$E88</x:f>
        <x:v>16</x:v>
      </x:c>
      <x:c r="U88" s="39" t="n">
        <x:f>MAX(0,MIN($G88,70)-MAX($F88,66)+1)*$D88/$E88</x:f>
        <x:v>16</x:v>
      </x:c>
      <x:c r="V88" s="39" t="n">
        <x:f>MAX(0,MIN($G88,75)-MAX($F88,71)+1)*$D88/$E88</x:f>
        <x:v>6.4</x:v>
      </x:c>
      <x:c r="W88" s="39" t="n">
        <x:f>MAX(0,MIN($G88,80)-MAX($F88,76)+1)*$D88/$E88</x:f>
        <x:v>0</x:v>
      </x:c>
      <x:c r="X88" s="39" t="n">
        <x:f>MAX(0,MIN($G88,85)-MAX($F88,81)+1)*$D88/$E88</x:f>
        <x:v>0</x:v>
      </x:c>
      <x:c r="Y88" s="39" t="n">
        <x:f>MAX(0,MIN($G88,90)-MAX($F88,86)+1)*$D88/$E88</x:f>
        <x:v>0</x:v>
      </x:c>
      <x:c r="Z88" s="39" t="n">
        <x:f>MAX(0,MIN($G88,95)-MAX($F88,91)+1)*$D88/$E88</x:f>
        <x:v>0</x:v>
      </x:c>
      <x:c r="AA88" s="39" t="n">
        <x:f>MAX(0,MIN($G88,100)-MAX($F88,96)+1)*$D88/$E88</x:f>
        <x:v>0</x:v>
      </x:c>
      <x:c r="AB88" s="39" t="n">
        <x:f>MAX(0,MIN($G88,105)-MAX($F88,101)+1)*$D88/$E88</x:f>
        <x:v>0</x:v>
      </x:c>
      <x:c r="AC88" s="39" t="n">
        <x:f>MAX(0,MIN($G88,110)-MAX($F88,106)+1)*$D88/$E88</x:f>
        <x:v>0</x:v>
      </x:c>
      <x:c r="AD88" s="39" t="n">
        <x:f>MAX(0,MIN($G88,115)-MAX($F88,111)+1)*$D88/$E88</x:f>
        <x:v>0</x:v>
      </x:c>
      <x:c r="AE88" s="39" t="n">
        <x:f>MAX(0,MIN($G88,120)-MAX($F88,116)+1)*$D88/$E88</x:f>
        <x:v>0</x:v>
      </x:c>
      <x:c r="AF88" s="39" t="n">
        <x:f>MAX(0,MIN($G88,125)-MAX($F88,121)+1)*$D88/$E88</x:f>
        <x:v>0</x:v>
      </x:c>
      <x:c r="AG88" s="39" t="n">
        <x:f>MAX(0,MIN($G88,130)-MAX($F88,126)+1)*$D88/$E88</x:f>
        <x:v>0</x:v>
      </x:c>
      <x:c r="AH88" s="39" t="n">
        <x:f>MAX(0,MIN($G88,135)-MAX($F88,131)+1)*$D88/$E88</x:f>
        <x:v>0</x:v>
      </x:c>
      <x:c r="AI88" s="39" t="n">
        <x:f>MAX(0,MIN($G88,140)-MAX($F88,136)+1)*$D88/$E88</x:f>
        <x:v>0</x:v>
      </x:c>
      <x:c r="AJ88" s="39" t="n">
        <x:f>MAX(0,MIN($G88,145)-MAX($F88,141)+1)*$D88/$E88</x:f>
        <x:v>0</x:v>
      </x:c>
      <x:c r="AK88" s="39" t="n">
        <x:f>MAX(0,MIN($G88,150)-MAX($F88,146)+1)*$D88/$E88</x:f>
        <x:v>0</x:v>
      </x:c>
      <x:c r="AL88" s="39" t="n">
        <x:f>MAX(0,MIN($G88,155)-MAX($F88,151)+1)*$D88/$E88</x:f>
        <x:v>0</x:v>
      </x:c>
      <x:c r="AM88" s="39" t="n">
        <x:f>MAX(0,MIN($G88,160)-MAX($F88,156)+1)*$D88/$E88</x:f>
        <x:v>0</x:v>
      </x:c>
      <x:c r="AN88" s="39" t="n">
        <x:f>MAX(0,MIN($G88,165)-MAX($F88,161)+1)*$D88/$E88</x:f>
        <x:v>0</x:v>
      </x:c>
      <x:c r="AO88" s="39" t="n">
        <x:f>MAX(0,MIN($G88,170)-MAX($F88,166)+1)*$D88/$E88</x:f>
        <x:v>0</x:v>
      </x:c>
      <x:c r="AP88" s="39" t="n">
        <x:f>MAX(0,MIN($G88,175)-MAX($F88,171)+1)*$D88/$E88</x:f>
        <x:v>0</x:v>
      </x:c>
      <x:c r="AQ88" s="39" t="n">
        <x:f>MAX(0,MIN($G88,180)-MAX($F88,176)+1)*$D88/$E88</x:f>
        <x:v>0</x:v>
      </x:c>
    </x:row>
    <x:row r="89" ht="27" customHeight="1">
      <x:c r="A89" s="9" t="str">
        <x:v>D05</x:v>
      </x:c>
      <x:c r="B89" s="9" t="str">
        <x:f>'Tasks'!P47</x:f>
        <x:v>MD</x:v>
      </x:c>
      <x:c r="C89" s="9" t="str">
        <x:v>Review</x:v>
      </x:c>
      <x:c r="D89" s="40" t="n">
        <x:f>'Tasks'!Q47</x:f>
        <x:v>12</x:v>
      </x:c>
      <x:c r="E89" s="40" t="n">
        <x:f>'Tasks'!F47</x:f>
        <x:v>25</x:v>
      </x:c>
      <x:c r="F89" s="40" t="n">
        <x:f>'Tasks'!K47</x:f>
        <x:v>48</x:v>
      </x:c>
      <x:c r="G89" s="40" t="n">
        <x:f>'Tasks'!L47</x:f>
        <x:v>72</x:v>
      </x:c>
      <x:c r="H89" s="40" t="n">
        <x:f>MAX(0,MIN($G89,5)-MAX($F89,1)+1)*$D89/$E89</x:f>
        <x:v>0</x:v>
      </x:c>
      <x:c r="I89" s="40" t="n">
        <x:f>MAX(0,MIN($G89,10)-MAX($F89,6)+1)*$D89/$E89</x:f>
        <x:v>0</x:v>
      </x:c>
      <x:c r="J89" s="40" t="n">
        <x:f>MAX(0,MIN($G89,15)-MAX($F89,11)+1)*$D89/$E89</x:f>
        <x:v>0</x:v>
      </x:c>
      <x:c r="K89" s="40" t="n">
        <x:f>MAX(0,MIN($G89,20)-MAX($F89,16)+1)*$D89/$E89</x:f>
        <x:v>0</x:v>
      </x:c>
      <x:c r="L89" s="40" t="n">
        <x:f>MAX(0,MIN($G89,25)-MAX($F89,21)+1)*$D89/$E89</x:f>
        <x:v>0</x:v>
      </x:c>
      <x:c r="M89" s="40" t="n">
        <x:f>MAX(0,MIN($G89,30)-MAX($F89,26)+1)*$D89/$E89</x:f>
        <x:v>0</x:v>
      </x:c>
      <x:c r="N89" s="40" t="n">
        <x:f>MAX(0,MIN($G89,35)-MAX($F89,31)+1)*$D89/$E89</x:f>
        <x:v>0</x:v>
      </x:c>
      <x:c r="O89" s="40" t="n">
        <x:f>MAX(0,MIN($G89,40)-MAX($F89,36)+1)*$D89/$E89</x:f>
        <x:v>0</x:v>
      </x:c>
      <x:c r="P89" s="40" t="n">
        <x:f>MAX(0,MIN($G89,45)-MAX($F89,41)+1)*$D89/$E89</x:f>
        <x:v>0</x:v>
      </x:c>
      <x:c r="Q89" s="40" t="n">
        <x:f>MAX(0,MIN($G89,50)-MAX($F89,46)+1)*$D89/$E89</x:f>
        <x:v>1.44</x:v>
      </x:c>
      <x:c r="R89" s="40" t="n">
        <x:f>MAX(0,MIN($G89,55)-MAX($F89,51)+1)*$D89/$E89</x:f>
        <x:v>2.4</x:v>
      </x:c>
      <x:c r="S89" s="40" t="n">
        <x:f>MAX(0,MIN($G89,60)-MAX($F89,56)+1)*$D89/$E89</x:f>
        <x:v>2.4</x:v>
      </x:c>
      <x:c r="T89" s="40" t="n">
        <x:f>MAX(0,MIN($G89,65)-MAX($F89,61)+1)*$D89/$E89</x:f>
        <x:v>2.4</x:v>
      </x:c>
      <x:c r="U89" s="40" t="n">
        <x:f>MAX(0,MIN($G89,70)-MAX($F89,66)+1)*$D89/$E89</x:f>
        <x:v>2.4</x:v>
      </x:c>
      <x:c r="V89" s="40" t="n">
        <x:f>MAX(0,MIN($G89,75)-MAX($F89,71)+1)*$D89/$E89</x:f>
        <x:v>0.96</x:v>
      </x:c>
      <x:c r="W89" s="40" t="n">
        <x:f>MAX(0,MIN($G89,80)-MAX($F89,76)+1)*$D89/$E89</x:f>
        <x:v>0</x:v>
      </x:c>
      <x:c r="X89" s="40" t="n">
        <x:f>MAX(0,MIN($G89,85)-MAX($F89,81)+1)*$D89/$E89</x:f>
        <x:v>0</x:v>
      </x:c>
      <x:c r="Y89" s="40" t="n">
        <x:f>MAX(0,MIN($G89,90)-MAX($F89,86)+1)*$D89/$E89</x:f>
        <x:v>0</x:v>
      </x:c>
      <x:c r="Z89" s="40" t="n">
        <x:f>MAX(0,MIN($G89,95)-MAX($F89,91)+1)*$D89/$E89</x:f>
        <x:v>0</x:v>
      </x:c>
      <x:c r="AA89" s="40" t="n">
        <x:f>MAX(0,MIN($G89,100)-MAX($F89,96)+1)*$D89/$E89</x:f>
        <x:v>0</x:v>
      </x:c>
      <x:c r="AB89" s="40" t="n">
        <x:f>MAX(0,MIN($G89,105)-MAX($F89,101)+1)*$D89/$E89</x:f>
        <x:v>0</x:v>
      </x:c>
      <x:c r="AC89" s="40" t="n">
        <x:f>MAX(0,MIN($G89,110)-MAX($F89,106)+1)*$D89/$E89</x:f>
        <x:v>0</x:v>
      </x:c>
      <x:c r="AD89" s="40" t="n">
        <x:f>MAX(0,MIN($G89,115)-MAX($F89,111)+1)*$D89/$E89</x:f>
        <x:v>0</x:v>
      </x:c>
      <x:c r="AE89" s="40" t="n">
        <x:f>MAX(0,MIN($G89,120)-MAX($F89,116)+1)*$D89/$E89</x:f>
        <x:v>0</x:v>
      </x:c>
      <x:c r="AF89" s="40" t="n">
        <x:f>MAX(0,MIN($G89,125)-MAX($F89,121)+1)*$D89/$E89</x:f>
        <x:v>0</x:v>
      </x:c>
      <x:c r="AG89" s="40" t="n">
        <x:f>MAX(0,MIN($G89,130)-MAX($F89,126)+1)*$D89/$E89</x:f>
        <x:v>0</x:v>
      </x:c>
      <x:c r="AH89" s="40" t="n">
        <x:f>MAX(0,MIN($G89,135)-MAX($F89,131)+1)*$D89/$E89</x:f>
        <x:v>0</x:v>
      </x:c>
      <x:c r="AI89" s="40" t="n">
        <x:f>MAX(0,MIN($G89,140)-MAX($F89,136)+1)*$D89/$E89</x:f>
        <x:v>0</x:v>
      </x:c>
      <x:c r="AJ89" s="40" t="n">
        <x:f>MAX(0,MIN($G89,145)-MAX($F89,141)+1)*$D89/$E89</x:f>
        <x:v>0</x:v>
      </x:c>
      <x:c r="AK89" s="40" t="n">
        <x:f>MAX(0,MIN($G89,150)-MAX($F89,146)+1)*$D89/$E89</x:f>
        <x:v>0</x:v>
      </x:c>
      <x:c r="AL89" s="40" t="n">
        <x:f>MAX(0,MIN($G89,155)-MAX($F89,151)+1)*$D89/$E89</x:f>
        <x:v>0</x:v>
      </x:c>
      <x:c r="AM89" s="40" t="n">
        <x:f>MAX(0,MIN($G89,160)-MAX($F89,156)+1)*$D89/$E89</x:f>
        <x:v>0</x:v>
      </x:c>
      <x:c r="AN89" s="40" t="n">
        <x:f>MAX(0,MIN($G89,165)-MAX($F89,161)+1)*$D89/$E89</x:f>
        <x:v>0</x:v>
      </x:c>
      <x:c r="AO89" s="40" t="n">
        <x:f>MAX(0,MIN($G89,170)-MAX($F89,166)+1)*$D89/$E89</x:f>
        <x:v>0</x:v>
      </x:c>
      <x:c r="AP89" s="40" t="n">
        <x:f>MAX(0,MIN($G89,175)-MAX($F89,171)+1)*$D89/$E89</x:f>
        <x:v>0</x:v>
      </x:c>
      <x:c r="AQ89" s="40" t="n">
        <x:f>MAX(0,MIN($G89,180)-MAX($F89,176)+1)*$D89/$E89</x:f>
        <x:v>0</x:v>
      </x:c>
    </x:row>
    <x:row r="90" ht="27" customHeight="1">
      <x:c r="A90" s="10" t="str">
        <x:v>D06</x:v>
      </x:c>
      <x:c r="B90" s="10" t="str">
        <x:f>'Tasks'!D48</x:f>
        <x:v>KE</x:v>
      </x:c>
      <x:c r="C90" s="10" t="str">
        <x:v>Owner</x:v>
      </x:c>
      <x:c r="D90" s="39" t="n">
        <x:f>'Tasks'!O48</x:f>
        <x:v>90</x:v>
      </x:c>
      <x:c r="E90" s="39" t="n">
        <x:f>'Tasks'!F48</x:f>
        <x:v>20</x:v>
      </x:c>
      <x:c r="F90" s="39" t="n">
        <x:f>'Tasks'!K48</x:f>
        <x:v>73</x:v>
      </x:c>
      <x:c r="G90" s="39" t="n">
        <x:f>'Tasks'!L48</x:f>
        <x:v>92</x:v>
      </x:c>
      <x:c r="H90" s="39" t="n">
        <x:f>MAX(0,MIN($G90,5)-MAX($F90,1)+1)*$D90/$E90</x:f>
        <x:v>0</x:v>
      </x:c>
      <x:c r="I90" s="39" t="n">
        <x:f>MAX(0,MIN($G90,10)-MAX($F90,6)+1)*$D90/$E90</x:f>
        <x:v>0</x:v>
      </x:c>
      <x:c r="J90" s="39" t="n">
        <x:f>MAX(0,MIN($G90,15)-MAX($F90,11)+1)*$D90/$E90</x:f>
        <x:v>0</x:v>
      </x:c>
      <x:c r="K90" s="39" t="n">
        <x:f>MAX(0,MIN($G90,20)-MAX($F90,16)+1)*$D90/$E90</x:f>
        <x:v>0</x:v>
      </x:c>
      <x:c r="L90" s="39" t="n">
        <x:f>MAX(0,MIN($G90,25)-MAX($F90,21)+1)*$D90/$E90</x:f>
        <x:v>0</x:v>
      </x:c>
      <x:c r="M90" s="39" t="n">
        <x:f>MAX(0,MIN($G90,30)-MAX($F90,26)+1)*$D90/$E90</x:f>
        <x:v>0</x:v>
      </x:c>
      <x:c r="N90" s="39" t="n">
        <x:f>MAX(0,MIN($G90,35)-MAX($F90,31)+1)*$D90/$E90</x:f>
        <x:v>0</x:v>
      </x:c>
      <x:c r="O90" s="39" t="n">
        <x:f>MAX(0,MIN($G90,40)-MAX($F90,36)+1)*$D90/$E90</x:f>
        <x:v>0</x:v>
      </x:c>
      <x:c r="P90" s="39" t="n">
        <x:f>MAX(0,MIN($G90,45)-MAX($F90,41)+1)*$D90/$E90</x:f>
        <x:v>0</x:v>
      </x:c>
      <x:c r="Q90" s="39" t="n">
        <x:f>MAX(0,MIN($G90,50)-MAX($F90,46)+1)*$D90/$E90</x:f>
        <x:v>0</x:v>
      </x:c>
      <x:c r="R90" s="39" t="n">
        <x:f>MAX(0,MIN($G90,55)-MAX($F90,51)+1)*$D90/$E90</x:f>
        <x:v>0</x:v>
      </x:c>
      <x:c r="S90" s="39" t="n">
        <x:f>MAX(0,MIN($G90,60)-MAX($F90,56)+1)*$D90/$E90</x:f>
        <x:v>0</x:v>
      </x:c>
      <x:c r="T90" s="39" t="n">
        <x:f>MAX(0,MIN($G90,65)-MAX($F90,61)+1)*$D90/$E90</x:f>
        <x:v>0</x:v>
      </x:c>
      <x:c r="U90" s="39" t="n">
        <x:f>MAX(0,MIN($G90,70)-MAX($F90,66)+1)*$D90/$E90</x:f>
        <x:v>0</x:v>
      </x:c>
      <x:c r="V90" s="39" t="n">
        <x:f>MAX(0,MIN($G90,75)-MAX($F90,71)+1)*$D90/$E90</x:f>
        <x:v>13.5</x:v>
      </x:c>
      <x:c r="W90" s="39" t="n">
        <x:f>MAX(0,MIN($G90,80)-MAX($F90,76)+1)*$D90/$E90</x:f>
        <x:v>22.5</x:v>
      </x:c>
      <x:c r="X90" s="39" t="n">
        <x:f>MAX(0,MIN($G90,85)-MAX($F90,81)+1)*$D90/$E90</x:f>
        <x:v>22.5</x:v>
      </x:c>
      <x:c r="Y90" s="39" t="n">
        <x:f>MAX(0,MIN($G90,90)-MAX($F90,86)+1)*$D90/$E90</x:f>
        <x:v>22.5</x:v>
      </x:c>
      <x:c r="Z90" s="39" t="n">
        <x:f>MAX(0,MIN($G90,95)-MAX($F90,91)+1)*$D90/$E90</x:f>
        <x:v>9</x:v>
      </x:c>
      <x:c r="AA90" s="39" t="n">
        <x:f>MAX(0,MIN($G90,100)-MAX($F90,96)+1)*$D90/$E90</x:f>
        <x:v>0</x:v>
      </x:c>
      <x:c r="AB90" s="39" t="n">
        <x:f>MAX(0,MIN($G90,105)-MAX($F90,101)+1)*$D90/$E90</x:f>
        <x:v>0</x:v>
      </x:c>
      <x:c r="AC90" s="39" t="n">
        <x:f>MAX(0,MIN($G90,110)-MAX($F90,106)+1)*$D90/$E90</x:f>
        <x:v>0</x:v>
      </x:c>
      <x:c r="AD90" s="39" t="n">
        <x:f>MAX(0,MIN($G90,115)-MAX($F90,111)+1)*$D90/$E90</x:f>
        <x:v>0</x:v>
      </x:c>
      <x:c r="AE90" s="39" t="n">
        <x:f>MAX(0,MIN($G90,120)-MAX($F90,116)+1)*$D90/$E90</x:f>
        <x:v>0</x:v>
      </x:c>
      <x:c r="AF90" s="39" t="n">
        <x:f>MAX(0,MIN($G90,125)-MAX($F90,121)+1)*$D90/$E90</x:f>
        <x:v>0</x:v>
      </x:c>
      <x:c r="AG90" s="39" t="n">
        <x:f>MAX(0,MIN($G90,130)-MAX($F90,126)+1)*$D90/$E90</x:f>
        <x:v>0</x:v>
      </x:c>
      <x:c r="AH90" s="39" t="n">
        <x:f>MAX(0,MIN($G90,135)-MAX($F90,131)+1)*$D90/$E90</x:f>
        <x:v>0</x:v>
      </x:c>
      <x:c r="AI90" s="39" t="n">
        <x:f>MAX(0,MIN($G90,140)-MAX($F90,136)+1)*$D90/$E90</x:f>
        <x:v>0</x:v>
      </x:c>
      <x:c r="AJ90" s="39" t="n">
        <x:f>MAX(0,MIN($G90,145)-MAX($F90,141)+1)*$D90/$E90</x:f>
        <x:v>0</x:v>
      </x:c>
      <x:c r="AK90" s="39" t="n">
        <x:f>MAX(0,MIN($G90,150)-MAX($F90,146)+1)*$D90/$E90</x:f>
        <x:v>0</x:v>
      </x:c>
      <x:c r="AL90" s="39" t="n">
        <x:f>MAX(0,MIN($G90,155)-MAX($F90,151)+1)*$D90/$E90</x:f>
        <x:v>0</x:v>
      </x:c>
      <x:c r="AM90" s="39" t="n">
        <x:f>MAX(0,MIN($G90,160)-MAX($F90,156)+1)*$D90/$E90</x:f>
        <x:v>0</x:v>
      </x:c>
      <x:c r="AN90" s="39" t="n">
        <x:f>MAX(0,MIN($G90,165)-MAX($F90,161)+1)*$D90/$E90</x:f>
        <x:v>0</x:v>
      </x:c>
      <x:c r="AO90" s="39" t="n">
        <x:f>MAX(0,MIN($G90,170)-MAX($F90,166)+1)*$D90/$E90</x:f>
        <x:v>0</x:v>
      </x:c>
      <x:c r="AP90" s="39" t="n">
        <x:f>MAX(0,MIN($G90,175)-MAX($F90,171)+1)*$D90/$E90</x:f>
        <x:v>0</x:v>
      </x:c>
      <x:c r="AQ90" s="39" t="n">
        <x:f>MAX(0,MIN($G90,180)-MAX($F90,176)+1)*$D90/$E90</x:f>
        <x:v>0</x:v>
      </x:c>
    </x:row>
    <x:row r="91" ht="27" customHeight="1">
      <x:c r="A91" s="9" t="str">
        <x:v>D06</x:v>
      </x:c>
      <x:c r="B91" s="9" t="str">
        <x:f>'Tasks'!P48</x:f>
        <x:v>EXP</x:v>
      </x:c>
      <x:c r="C91" s="9" t="str">
        <x:v>Review</x:v>
      </x:c>
      <x:c r="D91" s="40" t="n">
        <x:f>'Tasks'!Q48</x:f>
        <x:v>60</x:v>
      </x:c>
      <x:c r="E91" s="40" t="n">
        <x:f>'Tasks'!F48</x:f>
        <x:v>20</x:v>
      </x:c>
      <x:c r="F91" s="40" t="n">
        <x:f>'Tasks'!K48</x:f>
        <x:v>73</x:v>
      </x:c>
      <x:c r="G91" s="40" t="n">
        <x:f>'Tasks'!L48</x:f>
        <x:v>92</x:v>
      </x:c>
      <x:c r="H91" s="40" t="n">
        <x:f>MAX(0,MIN($G91,5)-MAX($F91,1)+1)*$D91/$E91</x:f>
        <x:v>0</x:v>
      </x:c>
      <x:c r="I91" s="40" t="n">
        <x:f>MAX(0,MIN($G91,10)-MAX($F91,6)+1)*$D91/$E91</x:f>
        <x:v>0</x:v>
      </x:c>
      <x:c r="J91" s="40" t="n">
        <x:f>MAX(0,MIN($G91,15)-MAX($F91,11)+1)*$D91/$E91</x:f>
        <x:v>0</x:v>
      </x:c>
      <x:c r="K91" s="40" t="n">
        <x:f>MAX(0,MIN($G91,20)-MAX($F91,16)+1)*$D91/$E91</x:f>
        <x:v>0</x:v>
      </x:c>
      <x:c r="L91" s="40" t="n">
        <x:f>MAX(0,MIN($G91,25)-MAX($F91,21)+1)*$D91/$E91</x:f>
        <x:v>0</x:v>
      </x:c>
      <x:c r="M91" s="40" t="n">
        <x:f>MAX(0,MIN($G91,30)-MAX($F91,26)+1)*$D91/$E91</x:f>
        <x:v>0</x:v>
      </x:c>
      <x:c r="N91" s="40" t="n">
        <x:f>MAX(0,MIN($G91,35)-MAX($F91,31)+1)*$D91/$E91</x:f>
        <x:v>0</x:v>
      </x:c>
      <x:c r="O91" s="40" t="n">
        <x:f>MAX(0,MIN($G91,40)-MAX($F91,36)+1)*$D91/$E91</x:f>
        <x:v>0</x:v>
      </x:c>
      <x:c r="P91" s="40" t="n">
        <x:f>MAX(0,MIN($G91,45)-MAX($F91,41)+1)*$D91/$E91</x:f>
        <x:v>0</x:v>
      </x:c>
      <x:c r="Q91" s="40" t="n">
        <x:f>MAX(0,MIN($G91,50)-MAX($F91,46)+1)*$D91/$E91</x:f>
        <x:v>0</x:v>
      </x:c>
      <x:c r="R91" s="40" t="n">
        <x:f>MAX(0,MIN($G91,55)-MAX($F91,51)+1)*$D91/$E91</x:f>
        <x:v>0</x:v>
      </x:c>
      <x:c r="S91" s="40" t="n">
        <x:f>MAX(0,MIN($G91,60)-MAX($F91,56)+1)*$D91/$E91</x:f>
        <x:v>0</x:v>
      </x:c>
      <x:c r="T91" s="40" t="n">
        <x:f>MAX(0,MIN($G91,65)-MAX($F91,61)+1)*$D91/$E91</x:f>
        <x:v>0</x:v>
      </x:c>
      <x:c r="U91" s="40" t="n">
        <x:f>MAX(0,MIN($G91,70)-MAX($F91,66)+1)*$D91/$E91</x:f>
        <x:v>0</x:v>
      </x:c>
      <x:c r="V91" s="40" t="n">
        <x:f>MAX(0,MIN($G91,75)-MAX($F91,71)+1)*$D91/$E91</x:f>
        <x:v>9</x:v>
      </x:c>
      <x:c r="W91" s="40" t="n">
        <x:f>MAX(0,MIN($G91,80)-MAX($F91,76)+1)*$D91/$E91</x:f>
        <x:v>15</x:v>
      </x:c>
      <x:c r="X91" s="40" t="n">
        <x:f>MAX(0,MIN($G91,85)-MAX($F91,81)+1)*$D91/$E91</x:f>
        <x:v>15</x:v>
      </x:c>
      <x:c r="Y91" s="40" t="n">
        <x:f>MAX(0,MIN($G91,90)-MAX($F91,86)+1)*$D91/$E91</x:f>
        <x:v>15</x:v>
      </x:c>
      <x:c r="Z91" s="40" t="n">
        <x:f>MAX(0,MIN($G91,95)-MAX($F91,91)+1)*$D91/$E91</x:f>
        <x:v>6</x:v>
      </x:c>
      <x:c r="AA91" s="40" t="n">
        <x:f>MAX(0,MIN($G91,100)-MAX($F91,96)+1)*$D91/$E91</x:f>
        <x:v>0</x:v>
      </x:c>
      <x:c r="AB91" s="40" t="n">
        <x:f>MAX(0,MIN($G91,105)-MAX($F91,101)+1)*$D91/$E91</x:f>
        <x:v>0</x:v>
      </x:c>
      <x:c r="AC91" s="40" t="n">
        <x:f>MAX(0,MIN($G91,110)-MAX($F91,106)+1)*$D91/$E91</x:f>
        <x:v>0</x:v>
      </x:c>
      <x:c r="AD91" s="40" t="n">
        <x:f>MAX(0,MIN($G91,115)-MAX($F91,111)+1)*$D91/$E91</x:f>
        <x:v>0</x:v>
      </x:c>
      <x:c r="AE91" s="40" t="n">
        <x:f>MAX(0,MIN($G91,120)-MAX($F91,116)+1)*$D91/$E91</x:f>
        <x:v>0</x:v>
      </x:c>
      <x:c r="AF91" s="40" t="n">
        <x:f>MAX(0,MIN($G91,125)-MAX($F91,121)+1)*$D91/$E91</x:f>
        <x:v>0</x:v>
      </x:c>
      <x:c r="AG91" s="40" t="n">
        <x:f>MAX(0,MIN($G91,130)-MAX($F91,126)+1)*$D91/$E91</x:f>
        <x:v>0</x:v>
      </x:c>
      <x:c r="AH91" s="40" t="n">
        <x:f>MAX(0,MIN($G91,135)-MAX($F91,131)+1)*$D91/$E91</x:f>
        <x:v>0</x:v>
      </x:c>
      <x:c r="AI91" s="40" t="n">
        <x:f>MAX(0,MIN($G91,140)-MAX($F91,136)+1)*$D91/$E91</x:f>
        <x:v>0</x:v>
      </x:c>
      <x:c r="AJ91" s="40" t="n">
        <x:f>MAX(0,MIN($G91,145)-MAX($F91,141)+1)*$D91/$E91</x:f>
        <x:v>0</x:v>
      </x:c>
      <x:c r="AK91" s="40" t="n">
        <x:f>MAX(0,MIN($G91,150)-MAX($F91,146)+1)*$D91/$E91</x:f>
        <x:v>0</x:v>
      </x:c>
      <x:c r="AL91" s="40" t="n">
        <x:f>MAX(0,MIN($G91,155)-MAX($F91,151)+1)*$D91/$E91</x:f>
        <x:v>0</x:v>
      </x:c>
      <x:c r="AM91" s="40" t="n">
        <x:f>MAX(0,MIN($G91,160)-MAX($F91,156)+1)*$D91/$E91</x:f>
        <x:v>0</x:v>
      </x:c>
      <x:c r="AN91" s="40" t="n">
        <x:f>MAX(0,MIN($G91,165)-MAX($F91,161)+1)*$D91/$E91</x:f>
        <x:v>0</x:v>
      </x:c>
      <x:c r="AO91" s="40" t="n">
        <x:f>MAX(0,MIN($G91,170)-MAX($F91,166)+1)*$D91/$E91</x:f>
        <x:v>0</x:v>
      </x:c>
      <x:c r="AP91" s="40" t="n">
        <x:f>MAX(0,MIN($G91,175)-MAX($F91,171)+1)*$D91/$E91</x:f>
        <x:v>0</x:v>
      </x:c>
      <x:c r="AQ91" s="40" t="n">
        <x:f>MAX(0,MIN($G91,180)-MAX($F91,176)+1)*$D91/$E91</x:f>
        <x:v>0</x:v>
      </x:c>
    </x:row>
    <x:row r="92" ht="27" customHeight="1">
      <x:c r="A92" s="10" t="str">
        <x:v>D07</x:v>
      </x:c>
      <x:c r="B92" s="10" t="str">
        <x:f>'Tasks'!D49</x:f>
        <x:v>KE</x:v>
      </x:c>
      <x:c r="C92" s="10" t="str">
        <x:v>Owner</x:v>
      </x:c>
      <x:c r="D92" s="39" t="n">
        <x:f>'Tasks'!O49</x:f>
        <x:v>90</x:v>
      </x:c>
      <x:c r="E92" s="39" t="n">
        <x:f>'Tasks'!F49</x:f>
        <x:v>12</x:v>
      </x:c>
      <x:c r="F92" s="39" t="n">
        <x:f>'Tasks'!K49</x:f>
        <x:v>93</x:v>
      </x:c>
      <x:c r="G92" s="39" t="n">
        <x:f>'Tasks'!L49</x:f>
        <x:v>104</x:v>
      </x:c>
      <x:c r="H92" s="39" t="n">
        <x:f>MAX(0,MIN($G92,5)-MAX($F92,1)+1)*$D92/$E92</x:f>
        <x:v>0</x:v>
      </x:c>
      <x:c r="I92" s="39" t="n">
        <x:f>MAX(0,MIN($G92,10)-MAX($F92,6)+1)*$D92/$E92</x:f>
        <x:v>0</x:v>
      </x:c>
      <x:c r="J92" s="39" t="n">
        <x:f>MAX(0,MIN($G92,15)-MAX($F92,11)+1)*$D92/$E92</x:f>
        <x:v>0</x:v>
      </x:c>
      <x:c r="K92" s="39" t="n">
        <x:f>MAX(0,MIN($G92,20)-MAX($F92,16)+1)*$D92/$E92</x:f>
        <x:v>0</x:v>
      </x:c>
      <x:c r="L92" s="39" t="n">
        <x:f>MAX(0,MIN($G92,25)-MAX($F92,21)+1)*$D92/$E92</x:f>
        <x:v>0</x:v>
      </x:c>
      <x:c r="M92" s="39" t="n">
        <x:f>MAX(0,MIN($G92,30)-MAX($F92,26)+1)*$D92/$E92</x:f>
        <x:v>0</x:v>
      </x:c>
      <x:c r="N92" s="39" t="n">
        <x:f>MAX(0,MIN($G92,35)-MAX($F92,31)+1)*$D92/$E92</x:f>
        <x:v>0</x:v>
      </x:c>
      <x:c r="O92" s="39" t="n">
        <x:f>MAX(0,MIN($G92,40)-MAX($F92,36)+1)*$D92/$E92</x:f>
        <x:v>0</x:v>
      </x:c>
      <x:c r="P92" s="39" t="n">
        <x:f>MAX(0,MIN($G92,45)-MAX($F92,41)+1)*$D92/$E92</x:f>
        <x:v>0</x:v>
      </x:c>
      <x:c r="Q92" s="39" t="n">
        <x:f>MAX(0,MIN($G92,50)-MAX($F92,46)+1)*$D92/$E92</x:f>
        <x:v>0</x:v>
      </x:c>
      <x:c r="R92" s="39" t="n">
        <x:f>MAX(0,MIN($G92,55)-MAX($F92,51)+1)*$D92/$E92</x:f>
        <x:v>0</x:v>
      </x:c>
      <x:c r="S92" s="39" t="n">
        <x:f>MAX(0,MIN($G92,60)-MAX($F92,56)+1)*$D92/$E92</x:f>
        <x:v>0</x:v>
      </x:c>
      <x:c r="T92" s="39" t="n">
        <x:f>MAX(0,MIN($G92,65)-MAX($F92,61)+1)*$D92/$E92</x:f>
        <x:v>0</x:v>
      </x:c>
      <x:c r="U92" s="39" t="n">
        <x:f>MAX(0,MIN($G92,70)-MAX($F92,66)+1)*$D92/$E92</x:f>
        <x:v>0</x:v>
      </x:c>
      <x:c r="V92" s="39" t="n">
        <x:f>MAX(0,MIN($G92,75)-MAX($F92,71)+1)*$D92/$E92</x:f>
        <x:v>0</x:v>
      </x:c>
      <x:c r="W92" s="39" t="n">
        <x:f>MAX(0,MIN($G92,80)-MAX($F92,76)+1)*$D92/$E92</x:f>
        <x:v>0</x:v>
      </x:c>
      <x:c r="X92" s="39" t="n">
        <x:f>MAX(0,MIN($G92,85)-MAX($F92,81)+1)*$D92/$E92</x:f>
        <x:v>0</x:v>
      </x:c>
      <x:c r="Y92" s="39" t="n">
        <x:f>MAX(0,MIN($G92,90)-MAX($F92,86)+1)*$D92/$E92</x:f>
        <x:v>0</x:v>
      </x:c>
      <x:c r="Z92" s="39" t="n">
        <x:f>MAX(0,MIN($G92,95)-MAX($F92,91)+1)*$D92/$E92</x:f>
        <x:v>22.5</x:v>
      </x:c>
      <x:c r="AA92" s="39" t="n">
        <x:f>MAX(0,MIN($G92,100)-MAX($F92,96)+1)*$D92/$E92</x:f>
        <x:v>37.5</x:v>
      </x:c>
      <x:c r="AB92" s="39" t="n">
        <x:f>MAX(0,MIN($G92,105)-MAX($F92,101)+1)*$D92/$E92</x:f>
        <x:v>30</x:v>
      </x:c>
      <x:c r="AC92" s="39" t="n">
        <x:f>MAX(0,MIN($G92,110)-MAX($F92,106)+1)*$D92/$E92</x:f>
        <x:v>0</x:v>
      </x:c>
      <x:c r="AD92" s="39" t="n">
        <x:f>MAX(0,MIN($G92,115)-MAX($F92,111)+1)*$D92/$E92</x:f>
        <x:v>0</x:v>
      </x:c>
      <x:c r="AE92" s="39" t="n">
        <x:f>MAX(0,MIN($G92,120)-MAX($F92,116)+1)*$D92/$E92</x:f>
        <x:v>0</x:v>
      </x:c>
      <x:c r="AF92" s="39" t="n">
        <x:f>MAX(0,MIN($G92,125)-MAX($F92,121)+1)*$D92/$E92</x:f>
        <x:v>0</x:v>
      </x:c>
      <x:c r="AG92" s="39" t="n">
        <x:f>MAX(0,MIN($G92,130)-MAX($F92,126)+1)*$D92/$E92</x:f>
        <x:v>0</x:v>
      </x:c>
      <x:c r="AH92" s="39" t="n">
        <x:f>MAX(0,MIN($G92,135)-MAX($F92,131)+1)*$D92/$E92</x:f>
        <x:v>0</x:v>
      </x:c>
      <x:c r="AI92" s="39" t="n">
        <x:f>MAX(0,MIN($G92,140)-MAX($F92,136)+1)*$D92/$E92</x:f>
        <x:v>0</x:v>
      </x:c>
      <x:c r="AJ92" s="39" t="n">
        <x:f>MAX(0,MIN($G92,145)-MAX($F92,141)+1)*$D92/$E92</x:f>
        <x:v>0</x:v>
      </x:c>
      <x:c r="AK92" s="39" t="n">
        <x:f>MAX(0,MIN($G92,150)-MAX($F92,146)+1)*$D92/$E92</x:f>
        <x:v>0</x:v>
      </x:c>
      <x:c r="AL92" s="39" t="n">
        <x:f>MAX(0,MIN($G92,155)-MAX($F92,151)+1)*$D92/$E92</x:f>
        <x:v>0</x:v>
      </x:c>
      <x:c r="AM92" s="39" t="n">
        <x:f>MAX(0,MIN($G92,160)-MAX($F92,156)+1)*$D92/$E92</x:f>
        <x:v>0</x:v>
      </x:c>
      <x:c r="AN92" s="39" t="n">
        <x:f>MAX(0,MIN($G92,165)-MAX($F92,161)+1)*$D92/$E92</x:f>
        <x:v>0</x:v>
      </x:c>
      <x:c r="AO92" s="39" t="n">
        <x:f>MAX(0,MIN($G92,170)-MAX($F92,166)+1)*$D92/$E92</x:f>
        <x:v>0</x:v>
      </x:c>
      <x:c r="AP92" s="39" t="n">
        <x:f>MAX(0,MIN($G92,175)-MAX($F92,171)+1)*$D92/$E92</x:f>
        <x:v>0</x:v>
      </x:c>
      <x:c r="AQ92" s="39" t="n">
        <x:f>MAX(0,MIN($G92,180)-MAX($F92,176)+1)*$D92/$E92</x:f>
        <x:v>0</x:v>
      </x:c>
    </x:row>
    <x:row r="93" ht="27" customHeight="1">
      <x:c r="A93" s="9" t="str">
        <x:v>D07</x:v>
      </x:c>
      <x:c r="B93" s="9" t="str">
        <x:f>'Tasks'!P49</x:f>
        <x:v>EXP</x:v>
      </x:c>
      <x:c r="C93" s="9" t="str">
        <x:v>Review</x:v>
      </x:c>
      <x:c r="D93" s="40" t="n">
        <x:f>'Tasks'!Q49</x:f>
        <x:v>160</x:v>
      </x:c>
      <x:c r="E93" s="40" t="n">
        <x:f>'Tasks'!F49</x:f>
        <x:v>12</x:v>
      </x:c>
      <x:c r="F93" s="40" t="n">
        <x:f>'Tasks'!K49</x:f>
        <x:v>93</x:v>
      </x:c>
      <x:c r="G93" s="40" t="n">
        <x:f>'Tasks'!L49</x:f>
        <x:v>104</x:v>
      </x:c>
      <x:c r="H93" s="40" t="n">
        <x:f>MAX(0,MIN($G93,5)-MAX($F93,1)+1)*$D93/$E93</x:f>
        <x:v>0</x:v>
      </x:c>
      <x:c r="I93" s="40" t="n">
        <x:f>MAX(0,MIN($G93,10)-MAX($F93,6)+1)*$D93/$E93</x:f>
        <x:v>0</x:v>
      </x:c>
      <x:c r="J93" s="40" t="n">
        <x:f>MAX(0,MIN($G93,15)-MAX($F93,11)+1)*$D93/$E93</x:f>
        <x:v>0</x:v>
      </x:c>
      <x:c r="K93" s="40" t="n">
        <x:f>MAX(0,MIN($G93,20)-MAX($F93,16)+1)*$D93/$E93</x:f>
        <x:v>0</x:v>
      </x:c>
      <x:c r="L93" s="40" t="n">
        <x:f>MAX(0,MIN($G93,25)-MAX($F93,21)+1)*$D93/$E93</x:f>
        <x:v>0</x:v>
      </x:c>
      <x:c r="M93" s="40" t="n">
        <x:f>MAX(0,MIN($G93,30)-MAX($F93,26)+1)*$D93/$E93</x:f>
        <x:v>0</x:v>
      </x:c>
      <x:c r="N93" s="40" t="n">
        <x:f>MAX(0,MIN($G93,35)-MAX($F93,31)+1)*$D93/$E93</x:f>
        <x:v>0</x:v>
      </x:c>
      <x:c r="O93" s="40" t="n">
        <x:f>MAX(0,MIN($G93,40)-MAX($F93,36)+1)*$D93/$E93</x:f>
        <x:v>0</x:v>
      </x:c>
      <x:c r="P93" s="40" t="n">
        <x:f>MAX(0,MIN($G93,45)-MAX($F93,41)+1)*$D93/$E93</x:f>
        <x:v>0</x:v>
      </x:c>
      <x:c r="Q93" s="40" t="n">
        <x:f>MAX(0,MIN($G93,50)-MAX($F93,46)+1)*$D93/$E93</x:f>
        <x:v>0</x:v>
      </x:c>
      <x:c r="R93" s="40" t="n">
        <x:f>MAX(0,MIN($G93,55)-MAX($F93,51)+1)*$D93/$E93</x:f>
        <x:v>0</x:v>
      </x:c>
      <x:c r="S93" s="40" t="n">
        <x:f>MAX(0,MIN($G93,60)-MAX($F93,56)+1)*$D93/$E93</x:f>
        <x:v>0</x:v>
      </x:c>
      <x:c r="T93" s="40" t="n">
        <x:f>MAX(0,MIN($G93,65)-MAX($F93,61)+1)*$D93/$E93</x:f>
        <x:v>0</x:v>
      </x:c>
      <x:c r="U93" s="40" t="n">
        <x:f>MAX(0,MIN($G93,70)-MAX($F93,66)+1)*$D93/$E93</x:f>
        <x:v>0</x:v>
      </x:c>
      <x:c r="V93" s="40" t="n">
        <x:f>MAX(0,MIN($G93,75)-MAX($F93,71)+1)*$D93/$E93</x:f>
        <x:v>0</x:v>
      </x:c>
      <x:c r="W93" s="40" t="n">
        <x:f>MAX(0,MIN($G93,80)-MAX($F93,76)+1)*$D93/$E93</x:f>
        <x:v>0</x:v>
      </x:c>
      <x:c r="X93" s="40" t="n">
        <x:f>MAX(0,MIN($G93,85)-MAX($F93,81)+1)*$D93/$E93</x:f>
        <x:v>0</x:v>
      </x:c>
      <x:c r="Y93" s="40" t="n">
        <x:f>MAX(0,MIN($G93,90)-MAX($F93,86)+1)*$D93/$E93</x:f>
        <x:v>0</x:v>
      </x:c>
      <x:c r="Z93" s="40" t="n">
        <x:f>MAX(0,MIN($G93,95)-MAX($F93,91)+1)*$D93/$E93</x:f>
        <x:v>40</x:v>
      </x:c>
      <x:c r="AA93" s="40" t="n">
        <x:f>MAX(0,MIN($G93,100)-MAX($F93,96)+1)*$D93/$E93</x:f>
        <x:v>66.66666666666667</x:v>
      </x:c>
      <x:c r="AB93" s="40" t="n">
        <x:f>MAX(0,MIN($G93,105)-MAX($F93,101)+1)*$D93/$E93</x:f>
        <x:v>53.333333333333336</x:v>
      </x:c>
      <x:c r="AC93" s="40" t="n">
        <x:f>MAX(0,MIN($G93,110)-MAX($F93,106)+1)*$D93/$E93</x:f>
        <x:v>0</x:v>
      </x:c>
      <x:c r="AD93" s="40" t="n">
        <x:f>MAX(0,MIN($G93,115)-MAX($F93,111)+1)*$D93/$E93</x:f>
        <x:v>0</x:v>
      </x:c>
      <x:c r="AE93" s="40" t="n">
        <x:f>MAX(0,MIN($G93,120)-MAX($F93,116)+1)*$D93/$E93</x:f>
        <x:v>0</x:v>
      </x:c>
      <x:c r="AF93" s="40" t="n">
        <x:f>MAX(0,MIN($G93,125)-MAX($F93,121)+1)*$D93/$E93</x:f>
        <x:v>0</x:v>
      </x:c>
      <x:c r="AG93" s="40" t="n">
        <x:f>MAX(0,MIN($G93,130)-MAX($F93,126)+1)*$D93/$E93</x:f>
        <x:v>0</x:v>
      </x:c>
      <x:c r="AH93" s="40" t="n">
        <x:f>MAX(0,MIN($G93,135)-MAX($F93,131)+1)*$D93/$E93</x:f>
        <x:v>0</x:v>
      </x:c>
      <x:c r="AI93" s="40" t="n">
        <x:f>MAX(0,MIN($G93,140)-MAX($F93,136)+1)*$D93/$E93</x:f>
        <x:v>0</x:v>
      </x:c>
      <x:c r="AJ93" s="40" t="n">
        <x:f>MAX(0,MIN($G93,145)-MAX($F93,141)+1)*$D93/$E93</x:f>
        <x:v>0</x:v>
      </x:c>
      <x:c r="AK93" s="40" t="n">
        <x:f>MAX(0,MIN($G93,150)-MAX($F93,146)+1)*$D93/$E93</x:f>
        <x:v>0</x:v>
      </x:c>
      <x:c r="AL93" s="40" t="n">
        <x:f>MAX(0,MIN($G93,155)-MAX($F93,151)+1)*$D93/$E93</x:f>
        <x:v>0</x:v>
      </x:c>
      <x:c r="AM93" s="40" t="n">
        <x:f>MAX(0,MIN($G93,160)-MAX($F93,156)+1)*$D93/$E93</x:f>
        <x:v>0</x:v>
      </x:c>
      <x:c r="AN93" s="40" t="n">
        <x:f>MAX(0,MIN($G93,165)-MAX($F93,161)+1)*$D93/$E93</x:f>
        <x:v>0</x:v>
      </x:c>
      <x:c r="AO93" s="40" t="n">
        <x:f>MAX(0,MIN($G93,170)-MAX($F93,166)+1)*$D93/$E93</x:f>
        <x:v>0</x:v>
      </x:c>
      <x:c r="AP93" s="40" t="n">
        <x:f>MAX(0,MIN($G93,175)-MAX($F93,171)+1)*$D93/$E93</x:f>
        <x:v>0</x:v>
      </x:c>
      <x:c r="AQ93" s="40" t="n">
        <x:f>MAX(0,MIN($G93,180)-MAX($F93,176)+1)*$D93/$E93</x:f>
        <x:v>0</x:v>
      </x:c>
    </x:row>
    <x:row r="94" ht="27" customHeight="1">
      <x:c r="A94" s="10" t="str">
        <x:v>D08</x:v>
      </x:c>
      <x:c r="B94" s="10" t="str">
        <x:f>'Tasks'!D50</x:f>
        <x:v>TD</x:v>
      </x:c>
      <x:c r="C94" s="10" t="str">
        <x:v>Owner</x:v>
      </x:c>
      <x:c r="D94" s="39" t="n">
        <x:f>'Tasks'!O50</x:f>
        <x:v>40</x:v>
      </x:c>
      <x:c r="E94" s="39" t="n">
        <x:f>'Tasks'!F50</x:f>
        <x:v>10</x:v>
      </x:c>
      <x:c r="F94" s="39" t="n">
        <x:f>'Tasks'!K50</x:f>
        <x:v>93</x:v>
      </x:c>
      <x:c r="G94" s="39" t="n">
        <x:f>'Tasks'!L50</x:f>
        <x:v>102</x:v>
      </x:c>
      <x:c r="H94" s="39" t="n">
        <x:f>MAX(0,MIN($G94,5)-MAX($F94,1)+1)*$D94/$E94</x:f>
        <x:v>0</x:v>
      </x:c>
      <x:c r="I94" s="39" t="n">
        <x:f>MAX(0,MIN($G94,10)-MAX($F94,6)+1)*$D94/$E94</x:f>
        <x:v>0</x:v>
      </x:c>
      <x:c r="J94" s="39" t="n">
        <x:f>MAX(0,MIN($G94,15)-MAX($F94,11)+1)*$D94/$E94</x:f>
        <x:v>0</x:v>
      </x:c>
      <x:c r="K94" s="39" t="n">
        <x:f>MAX(0,MIN($G94,20)-MAX($F94,16)+1)*$D94/$E94</x:f>
        <x:v>0</x:v>
      </x:c>
      <x:c r="L94" s="39" t="n">
        <x:f>MAX(0,MIN($G94,25)-MAX($F94,21)+1)*$D94/$E94</x:f>
        <x:v>0</x:v>
      </x:c>
      <x:c r="M94" s="39" t="n">
        <x:f>MAX(0,MIN($G94,30)-MAX($F94,26)+1)*$D94/$E94</x:f>
        <x:v>0</x:v>
      </x:c>
      <x:c r="N94" s="39" t="n">
        <x:f>MAX(0,MIN($G94,35)-MAX($F94,31)+1)*$D94/$E94</x:f>
        <x:v>0</x:v>
      </x:c>
      <x:c r="O94" s="39" t="n">
        <x:f>MAX(0,MIN($G94,40)-MAX($F94,36)+1)*$D94/$E94</x:f>
        <x:v>0</x:v>
      </x:c>
      <x:c r="P94" s="39" t="n">
        <x:f>MAX(0,MIN($G94,45)-MAX($F94,41)+1)*$D94/$E94</x:f>
        <x:v>0</x:v>
      </x:c>
      <x:c r="Q94" s="39" t="n">
        <x:f>MAX(0,MIN($G94,50)-MAX($F94,46)+1)*$D94/$E94</x:f>
        <x:v>0</x:v>
      </x:c>
      <x:c r="R94" s="39" t="n">
        <x:f>MAX(0,MIN($G94,55)-MAX($F94,51)+1)*$D94/$E94</x:f>
        <x:v>0</x:v>
      </x:c>
      <x:c r="S94" s="39" t="n">
        <x:f>MAX(0,MIN($G94,60)-MAX($F94,56)+1)*$D94/$E94</x:f>
        <x:v>0</x:v>
      </x:c>
      <x:c r="T94" s="39" t="n">
        <x:f>MAX(0,MIN($G94,65)-MAX($F94,61)+1)*$D94/$E94</x:f>
        <x:v>0</x:v>
      </x:c>
      <x:c r="U94" s="39" t="n">
        <x:f>MAX(0,MIN($G94,70)-MAX($F94,66)+1)*$D94/$E94</x:f>
        <x:v>0</x:v>
      </x:c>
      <x:c r="V94" s="39" t="n">
        <x:f>MAX(0,MIN($G94,75)-MAX($F94,71)+1)*$D94/$E94</x:f>
        <x:v>0</x:v>
      </x:c>
      <x:c r="W94" s="39" t="n">
        <x:f>MAX(0,MIN($G94,80)-MAX($F94,76)+1)*$D94/$E94</x:f>
        <x:v>0</x:v>
      </x:c>
      <x:c r="X94" s="39" t="n">
        <x:f>MAX(0,MIN($G94,85)-MAX($F94,81)+1)*$D94/$E94</x:f>
        <x:v>0</x:v>
      </x:c>
      <x:c r="Y94" s="39" t="n">
        <x:f>MAX(0,MIN($G94,90)-MAX($F94,86)+1)*$D94/$E94</x:f>
        <x:v>0</x:v>
      </x:c>
      <x:c r="Z94" s="39" t="n">
        <x:f>MAX(0,MIN($G94,95)-MAX($F94,91)+1)*$D94/$E94</x:f>
        <x:v>12</x:v>
      </x:c>
      <x:c r="AA94" s="39" t="n">
        <x:f>MAX(0,MIN($G94,100)-MAX($F94,96)+1)*$D94/$E94</x:f>
        <x:v>20</x:v>
      </x:c>
      <x:c r="AB94" s="39" t="n">
        <x:f>MAX(0,MIN($G94,105)-MAX($F94,101)+1)*$D94/$E94</x:f>
        <x:v>8</x:v>
      </x:c>
      <x:c r="AC94" s="39" t="n">
        <x:f>MAX(0,MIN($G94,110)-MAX($F94,106)+1)*$D94/$E94</x:f>
        <x:v>0</x:v>
      </x:c>
      <x:c r="AD94" s="39" t="n">
        <x:f>MAX(0,MIN($G94,115)-MAX($F94,111)+1)*$D94/$E94</x:f>
        <x:v>0</x:v>
      </x:c>
      <x:c r="AE94" s="39" t="n">
        <x:f>MAX(0,MIN($G94,120)-MAX($F94,116)+1)*$D94/$E94</x:f>
        <x:v>0</x:v>
      </x:c>
      <x:c r="AF94" s="39" t="n">
        <x:f>MAX(0,MIN($G94,125)-MAX($F94,121)+1)*$D94/$E94</x:f>
        <x:v>0</x:v>
      </x:c>
      <x:c r="AG94" s="39" t="n">
        <x:f>MAX(0,MIN($G94,130)-MAX($F94,126)+1)*$D94/$E94</x:f>
        <x:v>0</x:v>
      </x:c>
      <x:c r="AH94" s="39" t="n">
        <x:f>MAX(0,MIN($G94,135)-MAX($F94,131)+1)*$D94/$E94</x:f>
        <x:v>0</x:v>
      </x:c>
      <x:c r="AI94" s="39" t="n">
        <x:f>MAX(0,MIN($G94,140)-MAX($F94,136)+1)*$D94/$E94</x:f>
        <x:v>0</x:v>
      </x:c>
      <x:c r="AJ94" s="39" t="n">
        <x:f>MAX(0,MIN($G94,145)-MAX($F94,141)+1)*$D94/$E94</x:f>
        <x:v>0</x:v>
      </x:c>
      <x:c r="AK94" s="39" t="n">
        <x:f>MAX(0,MIN($G94,150)-MAX($F94,146)+1)*$D94/$E94</x:f>
        <x:v>0</x:v>
      </x:c>
      <x:c r="AL94" s="39" t="n">
        <x:f>MAX(0,MIN($G94,155)-MAX($F94,151)+1)*$D94/$E94</x:f>
        <x:v>0</x:v>
      </x:c>
      <x:c r="AM94" s="39" t="n">
        <x:f>MAX(0,MIN($G94,160)-MAX($F94,156)+1)*$D94/$E94</x:f>
        <x:v>0</x:v>
      </x:c>
      <x:c r="AN94" s="39" t="n">
        <x:f>MAX(0,MIN($G94,165)-MAX($F94,161)+1)*$D94/$E94</x:f>
        <x:v>0</x:v>
      </x:c>
      <x:c r="AO94" s="39" t="n">
        <x:f>MAX(0,MIN($G94,170)-MAX($F94,166)+1)*$D94/$E94</x:f>
        <x:v>0</x:v>
      </x:c>
      <x:c r="AP94" s="39" t="n">
        <x:f>MAX(0,MIN($G94,175)-MAX($F94,171)+1)*$D94/$E94</x:f>
        <x:v>0</x:v>
      </x:c>
      <x:c r="AQ94" s="39" t="n">
        <x:f>MAX(0,MIN($G94,180)-MAX($F94,176)+1)*$D94/$E94</x:f>
        <x:v>0</x:v>
      </x:c>
    </x:row>
    <x:row r="95" ht="27" customHeight="1">
      <x:c r="A95" s="9" t="str">
        <x:v>D08</x:v>
      </x:c>
      <x:c r="B95" s="9" t="str">
        <x:f>'Tasks'!P50</x:f>
        <x:v>EXP</x:v>
      </x:c>
      <x:c r="C95" s="9" t="str">
        <x:v>Review</x:v>
      </x:c>
      <x:c r="D95" s="40" t="n">
        <x:f>'Tasks'!Q50</x:f>
        <x:v>80</x:v>
      </x:c>
      <x:c r="E95" s="40" t="n">
        <x:f>'Tasks'!F50</x:f>
        <x:v>10</x:v>
      </x:c>
      <x:c r="F95" s="40" t="n">
        <x:f>'Tasks'!K50</x:f>
        <x:v>93</x:v>
      </x:c>
      <x:c r="G95" s="40" t="n">
        <x:f>'Tasks'!L50</x:f>
        <x:v>102</x:v>
      </x:c>
      <x:c r="H95" s="40" t="n">
        <x:f>MAX(0,MIN($G95,5)-MAX($F95,1)+1)*$D95/$E95</x:f>
        <x:v>0</x:v>
      </x:c>
      <x:c r="I95" s="40" t="n">
        <x:f>MAX(0,MIN($G95,10)-MAX($F95,6)+1)*$D95/$E95</x:f>
        <x:v>0</x:v>
      </x:c>
      <x:c r="J95" s="40" t="n">
        <x:f>MAX(0,MIN($G95,15)-MAX($F95,11)+1)*$D95/$E95</x:f>
        <x:v>0</x:v>
      </x:c>
      <x:c r="K95" s="40" t="n">
        <x:f>MAX(0,MIN($G95,20)-MAX($F95,16)+1)*$D95/$E95</x:f>
        <x:v>0</x:v>
      </x:c>
      <x:c r="L95" s="40" t="n">
        <x:f>MAX(0,MIN($G95,25)-MAX($F95,21)+1)*$D95/$E95</x:f>
        <x:v>0</x:v>
      </x:c>
      <x:c r="M95" s="40" t="n">
        <x:f>MAX(0,MIN($G95,30)-MAX($F95,26)+1)*$D95/$E95</x:f>
        <x:v>0</x:v>
      </x:c>
      <x:c r="N95" s="40" t="n">
        <x:f>MAX(0,MIN($G95,35)-MAX($F95,31)+1)*$D95/$E95</x:f>
        <x:v>0</x:v>
      </x:c>
      <x:c r="O95" s="40" t="n">
        <x:f>MAX(0,MIN($G95,40)-MAX($F95,36)+1)*$D95/$E95</x:f>
        <x:v>0</x:v>
      </x:c>
      <x:c r="P95" s="40" t="n">
        <x:f>MAX(0,MIN($G95,45)-MAX($F95,41)+1)*$D95/$E95</x:f>
        <x:v>0</x:v>
      </x:c>
      <x:c r="Q95" s="40" t="n">
        <x:f>MAX(0,MIN($G95,50)-MAX($F95,46)+1)*$D95/$E95</x:f>
        <x:v>0</x:v>
      </x:c>
      <x:c r="R95" s="40" t="n">
        <x:f>MAX(0,MIN($G95,55)-MAX($F95,51)+1)*$D95/$E95</x:f>
        <x:v>0</x:v>
      </x:c>
      <x:c r="S95" s="40" t="n">
        <x:f>MAX(0,MIN($G95,60)-MAX($F95,56)+1)*$D95/$E95</x:f>
        <x:v>0</x:v>
      </x:c>
      <x:c r="T95" s="40" t="n">
        <x:f>MAX(0,MIN($G95,65)-MAX($F95,61)+1)*$D95/$E95</x:f>
        <x:v>0</x:v>
      </x:c>
      <x:c r="U95" s="40" t="n">
        <x:f>MAX(0,MIN($G95,70)-MAX($F95,66)+1)*$D95/$E95</x:f>
        <x:v>0</x:v>
      </x:c>
      <x:c r="V95" s="40" t="n">
        <x:f>MAX(0,MIN($G95,75)-MAX($F95,71)+1)*$D95/$E95</x:f>
        <x:v>0</x:v>
      </x:c>
      <x:c r="W95" s="40" t="n">
        <x:f>MAX(0,MIN($G95,80)-MAX($F95,76)+1)*$D95/$E95</x:f>
        <x:v>0</x:v>
      </x:c>
      <x:c r="X95" s="40" t="n">
        <x:f>MAX(0,MIN($G95,85)-MAX($F95,81)+1)*$D95/$E95</x:f>
        <x:v>0</x:v>
      </x:c>
      <x:c r="Y95" s="40" t="n">
        <x:f>MAX(0,MIN($G95,90)-MAX($F95,86)+1)*$D95/$E95</x:f>
        <x:v>0</x:v>
      </x:c>
      <x:c r="Z95" s="40" t="n">
        <x:f>MAX(0,MIN($G95,95)-MAX($F95,91)+1)*$D95/$E95</x:f>
        <x:v>24</x:v>
      </x:c>
      <x:c r="AA95" s="40" t="n">
        <x:f>MAX(0,MIN($G95,100)-MAX($F95,96)+1)*$D95/$E95</x:f>
        <x:v>40</x:v>
      </x:c>
      <x:c r="AB95" s="40" t="n">
        <x:f>MAX(0,MIN($G95,105)-MAX($F95,101)+1)*$D95/$E95</x:f>
        <x:v>16</x:v>
      </x:c>
      <x:c r="AC95" s="40" t="n">
        <x:f>MAX(0,MIN($G95,110)-MAX($F95,106)+1)*$D95/$E95</x:f>
        <x:v>0</x:v>
      </x:c>
      <x:c r="AD95" s="40" t="n">
        <x:f>MAX(0,MIN($G95,115)-MAX($F95,111)+1)*$D95/$E95</x:f>
        <x:v>0</x:v>
      </x:c>
      <x:c r="AE95" s="40" t="n">
        <x:f>MAX(0,MIN($G95,120)-MAX($F95,116)+1)*$D95/$E95</x:f>
        <x:v>0</x:v>
      </x:c>
      <x:c r="AF95" s="40" t="n">
        <x:f>MAX(0,MIN($G95,125)-MAX($F95,121)+1)*$D95/$E95</x:f>
        <x:v>0</x:v>
      </x:c>
      <x:c r="AG95" s="40" t="n">
        <x:f>MAX(0,MIN($G95,130)-MAX($F95,126)+1)*$D95/$E95</x:f>
        <x:v>0</x:v>
      </x:c>
      <x:c r="AH95" s="40" t="n">
        <x:f>MAX(0,MIN($G95,135)-MAX($F95,131)+1)*$D95/$E95</x:f>
        <x:v>0</x:v>
      </x:c>
      <x:c r="AI95" s="40" t="n">
        <x:f>MAX(0,MIN($G95,140)-MAX($F95,136)+1)*$D95/$E95</x:f>
        <x:v>0</x:v>
      </x:c>
      <x:c r="AJ95" s="40" t="n">
        <x:f>MAX(0,MIN($G95,145)-MAX($F95,141)+1)*$D95/$E95</x:f>
        <x:v>0</x:v>
      </x:c>
      <x:c r="AK95" s="40" t="n">
        <x:f>MAX(0,MIN($G95,150)-MAX($F95,146)+1)*$D95/$E95</x:f>
        <x:v>0</x:v>
      </x:c>
      <x:c r="AL95" s="40" t="n">
        <x:f>MAX(0,MIN($G95,155)-MAX($F95,151)+1)*$D95/$E95</x:f>
        <x:v>0</x:v>
      </x:c>
      <x:c r="AM95" s="40" t="n">
        <x:f>MAX(0,MIN($G95,160)-MAX($F95,156)+1)*$D95/$E95</x:f>
        <x:v>0</x:v>
      </x:c>
      <x:c r="AN95" s="40" t="n">
        <x:f>MAX(0,MIN($G95,165)-MAX($F95,161)+1)*$D95/$E95</x:f>
        <x:v>0</x:v>
      </x:c>
      <x:c r="AO95" s="40" t="n">
        <x:f>MAX(0,MIN($G95,170)-MAX($F95,166)+1)*$D95/$E95</x:f>
        <x:v>0</x:v>
      </x:c>
      <x:c r="AP95" s="40" t="n">
        <x:f>MAX(0,MIN($G95,175)-MAX($F95,171)+1)*$D95/$E95</x:f>
        <x:v>0</x:v>
      </x:c>
      <x:c r="AQ95" s="40" t="n">
        <x:f>MAX(0,MIN($G95,180)-MAX($F95,176)+1)*$D95/$E95</x:f>
        <x:v>0</x:v>
      </x:c>
    </x:row>
    <x:row r="96" ht="27" customHeight="1">
      <x:c r="A96" s="10" t="str">
        <x:v>D09</x:v>
      </x:c>
      <x:c r="B96" s="10" t="str">
        <x:f>'Tasks'!D51</x:f>
        <x:v>KE</x:v>
      </x:c>
      <x:c r="C96" s="10" t="str">
        <x:v>Owner</x:v>
      </x:c>
      <x:c r="D96" s="39" t="n">
        <x:f>'Tasks'!O51</x:f>
        <x:v>22</x:v>
      </x:c>
      <x:c r="E96" s="39" t="n">
        <x:f>'Tasks'!F51</x:f>
        <x:v>3</x:v>
      </x:c>
      <x:c r="F96" s="39" t="n">
        <x:f>'Tasks'!K51</x:f>
        <x:v>105</x:v>
      </x:c>
      <x:c r="G96" s="39" t="n">
        <x:f>'Tasks'!L51</x:f>
        <x:v>107</x:v>
      </x:c>
      <x:c r="H96" s="39" t="n">
        <x:f>MAX(0,MIN($G96,5)-MAX($F96,1)+1)*$D96/$E96</x:f>
        <x:v>0</x:v>
      </x:c>
      <x:c r="I96" s="39" t="n">
        <x:f>MAX(0,MIN($G96,10)-MAX($F96,6)+1)*$D96/$E96</x:f>
        <x:v>0</x:v>
      </x:c>
      <x:c r="J96" s="39" t="n">
        <x:f>MAX(0,MIN($G96,15)-MAX($F96,11)+1)*$D96/$E96</x:f>
        <x:v>0</x:v>
      </x:c>
      <x:c r="K96" s="39" t="n">
        <x:f>MAX(0,MIN($G96,20)-MAX($F96,16)+1)*$D96/$E96</x:f>
        <x:v>0</x:v>
      </x:c>
      <x:c r="L96" s="39" t="n">
        <x:f>MAX(0,MIN($G96,25)-MAX($F96,21)+1)*$D96/$E96</x:f>
        <x:v>0</x:v>
      </x:c>
      <x:c r="M96" s="39" t="n">
        <x:f>MAX(0,MIN($G96,30)-MAX($F96,26)+1)*$D96/$E96</x:f>
        <x:v>0</x:v>
      </x:c>
      <x:c r="N96" s="39" t="n">
        <x:f>MAX(0,MIN($G96,35)-MAX($F96,31)+1)*$D96/$E96</x:f>
        <x:v>0</x:v>
      </x:c>
      <x:c r="O96" s="39" t="n">
        <x:f>MAX(0,MIN($G96,40)-MAX($F96,36)+1)*$D96/$E96</x:f>
        <x:v>0</x:v>
      </x:c>
      <x:c r="P96" s="39" t="n">
        <x:f>MAX(0,MIN($G96,45)-MAX($F96,41)+1)*$D96/$E96</x:f>
        <x:v>0</x:v>
      </x:c>
      <x:c r="Q96" s="39" t="n">
        <x:f>MAX(0,MIN($G96,50)-MAX($F96,46)+1)*$D96/$E96</x:f>
        <x:v>0</x:v>
      </x:c>
      <x:c r="R96" s="39" t="n">
        <x:f>MAX(0,MIN($G96,55)-MAX($F96,51)+1)*$D96/$E96</x:f>
        <x:v>0</x:v>
      </x:c>
      <x:c r="S96" s="39" t="n">
        <x:f>MAX(0,MIN($G96,60)-MAX($F96,56)+1)*$D96/$E96</x:f>
        <x:v>0</x:v>
      </x:c>
      <x:c r="T96" s="39" t="n">
        <x:f>MAX(0,MIN($G96,65)-MAX($F96,61)+1)*$D96/$E96</x:f>
        <x:v>0</x:v>
      </x:c>
      <x:c r="U96" s="39" t="n">
        <x:f>MAX(0,MIN($G96,70)-MAX($F96,66)+1)*$D96/$E96</x:f>
        <x:v>0</x:v>
      </x:c>
      <x:c r="V96" s="39" t="n">
        <x:f>MAX(0,MIN($G96,75)-MAX($F96,71)+1)*$D96/$E96</x:f>
        <x:v>0</x:v>
      </x:c>
      <x:c r="W96" s="39" t="n">
        <x:f>MAX(0,MIN($G96,80)-MAX($F96,76)+1)*$D96/$E96</x:f>
        <x:v>0</x:v>
      </x:c>
      <x:c r="X96" s="39" t="n">
        <x:f>MAX(0,MIN($G96,85)-MAX($F96,81)+1)*$D96/$E96</x:f>
        <x:v>0</x:v>
      </x:c>
      <x:c r="Y96" s="39" t="n">
        <x:f>MAX(0,MIN($G96,90)-MAX($F96,86)+1)*$D96/$E96</x:f>
        <x:v>0</x:v>
      </x:c>
      <x:c r="Z96" s="39" t="n">
        <x:f>MAX(0,MIN($G96,95)-MAX($F96,91)+1)*$D96/$E96</x:f>
        <x:v>0</x:v>
      </x:c>
      <x:c r="AA96" s="39" t="n">
        <x:f>MAX(0,MIN($G96,100)-MAX($F96,96)+1)*$D96/$E96</x:f>
        <x:v>0</x:v>
      </x:c>
      <x:c r="AB96" s="39" t="n">
        <x:f>MAX(0,MIN($G96,105)-MAX($F96,101)+1)*$D96/$E96</x:f>
        <x:v>7.333333333333333</x:v>
      </x:c>
      <x:c r="AC96" s="39" t="n">
        <x:f>MAX(0,MIN($G96,110)-MAX($F96,106)+1)*$D96/$E96</x:f>
        <x:v>14.666666666666666</x:v>
      </x:c>
      <x:c r="AD96" s="39" t="n">
        <x:f>MAX(0,MIN($G96,115)-MAX($F96,111)+1)*$D96/$E96</x:f>
        <x:v>0</x:v>
      </x:c>
      <x:c r="AE96" s="39" t="n">
        <x:f>MAX(0,MIN($G96,120)-MAX($F96,116)+1)*$D96/$E96</x:f>
        <x:v>0</x:v>
      </x:c>
      <x:c r="AF96" s="39" t="n">
        <x:f>MAX(0,MIN($G96,125)-MAX($F96,121)+1)*$D96/$E96</x:f>
        <x:v>0</x:v>
      </x:c>
      <x:c r="AG96" s="39" t="n">
        <x:f>MAX(0,MIN($G96,130)-MAX($F96,126)+1)*$D96/$E96</x:f>
        <x:v>0</x:v>
      </x:c>
      <x:c r="AH96" s="39" t="n">
        <x:f>MAX(0,MIN($G96,135)-MAX($F96,131)+1)*$D96/$E96</x:f>
        <x:v>0</x:v>
      </x:c>
      <x:c r="AI96" s="39" t="n">
        <x:f>MAX(0,MIN($G96,140)-MAX($F96,136)+1)*$D96/$E96</x:f>
        <x:v>0</x:v>
      </x:c>
      <x:c r="AJ96" s="39" t="n">
        <x:f>MAX(0,MIN($G96,145)-MAX($F96,141)+1)*$D96/$E96</x:f>
        <x:v>0</x:v>
      </x:c>
      <x:c r="AK96" s="39" t="n">
        <x:f>MAX(0,MIN($G96,150)-MAX($F96,146)+1)*$D96/$E96</x:f>
        <x:v>0</x:v>
      </x:c>
      <x:c r="AL96" s="39" t="n">
        <x:f>MAX(0,MIN($G96,155)-MAX($F96,151)+1)*$D96/$E96</x:f>
        <x:v>0</x:v>
      </x:c>
      <x:c r="AM96" s="39" t="n">
        <x:f>MAX(0,MIN($G96,160)-MAX($F96,156)+1)*$D96/$E96</x:f>
        <x:v>0</x:v>
      </x:c>
      <x:c r="AN96" s="39" t="n">
        <x:f>MAX(0,MIN($G96,165)-MAX($F96,161)+1)*$D96/$E96</x:f>
        <x:v>0</x:v>
      </x:c>
      <x:c r="AO96" s="39" t="n">
        <x:f>MAX(0,MIN($G96,170)-MAX($F96,166)+1)*$D96/$E96</x:f>
        <x:v>0</x:v>
      </x:c>
      <x:c r="AP96" s="39" t="n">
        <x:f>MAX(0,MIN($G96,175)-MAX($F96,171)+1)*$D96/$E96</x:f>
        <x:v>0</x:v>
      </x:c>
      <x:c r="AQ96" s="39" t="n">
        <x:f>MAX(0,MIN($G96,180)-MAX($F96,176)+1)*$D96/$E96</x:f>
        <x:v>0</x:v>
      </x:c>
    </x:row>
    <x:row r="97" ht="27" customHeight="1">
      <x:c r="A97" s="9" t="str">
        <x:v>D09</x:v>
      </x:c>
      <x:c r="B97" s="9" t="str">
        <x:f>'Tasks'!P51</x:f>
        <x:v>SEC</x:v>
      </x:c>
      <x:c r="C97" s="9" t="str">
        <x:v>Review</x:v>
      </x:c>
      <x:c r="D97" s="40" t="n">
        <x:f>'Tasks'!Q51</x:f>
        <x:v>6</x:v>
      </x:c>
      <x:c r="E97" s="40" t="n">
        <x:f>'Tasks'!F51</x:f>
        <x:v>3</x:v>
      </x:c>
      <x:c r="F97" s="40" t="n">
        <x:f>'Tasks'!K51</x:f>
        <x:v>105</x:v>
      </x:c>
      <x:c r="G97" s="40" t="n">
        <x:f>'Tasks'!L51</x:f>
        <x:v>107</x:v>
      </x:c>
      <x:c r="H97" s="40" t="n">
        <x:f>MAX(0,MIN($G97,5)-MAX($F97,1)+1)*$D97/$E97</x:f>
        <x:v>0</x:v>
      </x:c>
      <x:c r="I97" s="40" t="n">
        <x:f>MAX(0,MIN($G97,10)-MAX($F97,6)+1)*$D97/$E97</x:f>
        <x:v>0</x:v>
      </x:c>
      <x:c r="J97" s="40" t="n">
        <x:f>MAX(0,MIN($G97,15)-MAX($F97,11)+1)*$D97/$E97</x:f>
        <x:v>0</x:v>
      </x:c>
      <x:c r="K97" s="40" t="n">
        <x:f>MAX(0,MIN($G97,20)-MAX($F97,16)+1)*$D97/$E97</x:f>
        <x:v>0</x:v>
      </x:c>
      <x:c r="L97" s="40" t="n">
        <x:f>MAX(0,MIN($G97,25)-MAX($F97,21)+1)*$D97/$E97</x:f>
        <x:v>0</x:v>
      </x:c>
      <x:c r="M97" s="40" t="n">
        <x:f>MAX(0,MIN($G97,30)-MAX($F97,26)+1)*$D97/$E97</x:f>
        <x:v>0</x:v>
      </x:c>
      <x:c r="N97" s="40" t="n">
        <x:f>MAX(0,MIN($G97,35)-MAX($F97,31)+1)*$D97/$E97</x:f>
        <x:v>0</x:v>
      </x:c>
      <x:c r="O97" s="40" t="n">
        <x:f>MAX(0,MIN($G97,40)-MAX($F97,36)+1)*$D97/$E97</x:f>
        <x:v>0</x:v>
      </x:c>
      <x:c r="P97" s="40" t="n">
        <x:f>MAX(0,MIN($G97,45)-MAX($F97,41)+1)*$D97/$E97</x:f>
        <x:v>0</x:v>
      </x:c>
      <x:c r="Q97" s="40" t="n">
        <x:f>MAX(0,MIN($G97,50)-MAX($F97,46)+1)*$D97/$E97</x:f>
        <x:v>0</x:v>
      </x:c>
      <x:c r="R97" s="40" t="n">
        <x:f>MAX(0,MIN($G97,55)-MAX($F97,51)+1)*$D97/$E97</x:f>
        <x:v>0</x:v>
      </x:c>
      <x:c r="S97" s="40" t="n">
        <x:f>MAX(0,MIN($G97,60)-MAX($F97,56)+1)*$D97/$E97</x:f>
        <x:v>0</x:v>
      </x:c>
      <x:c r="T97" s="40" t="n">
        <x:f>MAX(0,MIN($G97,65)-MAX($F97,61)+1)*$D97/$E97</x:f>
        <x:v>0</x:v>
      </x:c>
      <x:c r="U97" s="40" t="n">
        <x:f>MAX(0,MIN($G97,70)-MAX($F97,66)+1)*$D97/$E97</x:f>
        <x:v>0</x:v>
      </x:c>
      <x:c r="V97" s="40" t="n">
        <x:f>MAX(0,MIN($G97,75)-MAX($F97,71)+1)*$D97/$E97</x:f>
        <x:v>0</x:v>
      </x:c>
      <x:c r="W97" s="40" t="n">
        <x:f>MAX(0,MIN($G97,80)-MAX($F97,76)+1)*$D97/$E97</x:f>
        <x:v>0</x:v>
      </x:c>
      <x:c r="X97" s="40" t="n">
        <x:f>MAX(0,MIN($G97,85)-MAX($F97,81)+1)*$D97/$E97</x:f>
        <x:v>0</x:v>
      </x:c>
      <x:c r="Y97" s="40" t="n">
        <x:f>MAX(0,MIN($G97,90)-MAX($F97,86)+1)*$D97/$E97</x:f>
        <x:v>0</x:v>
      </x:c>
      <x:c r="Z97" s="40" t="n">
        <x:f>MAX(0,MIN($G97,95)-MAX($F97,91)+1)*$D97/$E97</x:f>
        <x:v>0</x:v>
      </x:c>
      <x:c r="AA97" s="40" t="n">
        <x:f>MAX(0,MIN($G97,100)-MAX($F97,96)+1)*$D97/$E97</x:f>
        <x:v>0</x:v>
      </x:c>
      <x:c r="AB97" s="40" t="n">
        <x:f>MAX(0,MIN($G97,105)-MAX($F97,101)+1)*$D97/$E97</x:f>
        <x:v>2</x:v>
      </x:c>
      <x:c r="AC97" s="40" t="n">
        <x:f>MAX(0,MIN($G97,110)-MAX($F97,106)+1)*$D97/$E97</x:f>
        <x:v>4</x:v>
      </x:c>
      <x:c r="AD97" s="40" t="n">
        <x:f>MAX(0,MIN($G97,115)-MAX($F97,111)+1)*$D97/$E97</x:f>
        <x:v>0</x:v>
      </x:c>
      <x:c r="AE97" s="40" t="n">
        <x:f>MAX(0,MIN($G97,120)-MAX($F97,116)+1)*$D97/$E97</x:f>
        <x:v>0</x:v>
      </x:c>
      <x:c r="AF97" s="40" t="n">
        <x:f>MAX(0,MIN($G97,125)-MAX($F97,121)+1)*$D97/$E97</x:f>
        <x:v>0</x:v>
      </x:c>
      <x:c r="AG97" s="40" t="n">
        <x:f>MAX(0,MIN($G97,130)-MAX($F97,126)+1)*$D97/$E97</x:f>
        <x:v>0</x:v>
      </x:c>
      <x:c r="AH97" s="40" t="n">
        <x:f>MAX(0,MIN($G97,135)-MAX($F97,131)+1)*$D97/$E97</x:f>
        <x:v>0</x:v>
      </x:c>
      <x:c r="AI97" s="40" t="n">
        <x:f>MAX(0,MIN($G97,140)-MAX($F97,136)+1)*$D97/$E97</x:f>
        <x:v>0</x:v>
      </x:c>
      <x:c r="AJ97" s="40" t="n">
        <x:f>MAX(0,MIN($G97,145)-MAX($F97,141)+1)*$D97/$E97</x:f>
        <x:v>0</x:v>
      </x:c>
      <x:c r="AK97" s="40" t="n">
        <x:f>MAX(0,MIN($G97,150)-MAX($F97,146)+1)*$D97/$E97</x:f>
        <x:v>0</x:v>
      </x:c>
      <x:c r="AL97" s="40" t="n">
        <x:f>MAX(0,MIN($G97,155)-MAX($F97,151)+1)*$D97/$E97</x:f>
        <x:v>0</x:v>
      </x:c>
      <x:c r="AM97" s="40" t="n">
        <x:f>MAX(0,MIN($G97,160)-MAX($F97,156)+1)*$D97/$E97</x:f>
        <x:v>0</x:v>
      </x:c>
      <x:c r="AN97" s="40" t="n">
        <x:f>MAX(0,MIN($G97,165)-MAX($F97,161)+1)*$D97/$E97</x:f>
        <x:v>0</x:v>
      </x:c>
      <x:c r="AO97" s="40" t="n">
        <x:f>MAX(0,MIN($G97,170)-MAX($F97,166)+1)*$D97/$E97</x:f>
        <x:v>0</x:v>
      </x:c>
      <x:c r="AP97" s="40" t="n">
        <x:f>MAX(0,MIN($G97,175)-MAX($F97,171)+1)*$D97/$E97</x:f>
        <x:v>0</x:v>
      </x:c>
      <x:c r="AQ97" s="40" t="n">
        <x:f>MAX(0,MIN($G97,180)-MAX($F97,176)+1)*$D97/$E97</x:f>
        <x:v>0</x:v>
      </x:c>
    </x:row>
    <x:row r="98" ht="27" customHeight="1">
      <x:c r="A98" s="10" t="str">
        <x:v>D10</x:v>
      </x:c>
      <x:c r="B98" s="10" t="str">
        <x:f>'Tasks'!D52</x:f>
        <x:v>AI</x:v>
      </x:c>
      <x:c r="C98" s="10" t="str">
        <x:v>Owner</x:v>
      </x:c>
      <x:c r="D98" s="39" t="n">
        <x:f>'Tasks'!O52</x:f>
        <x:v>14</x:v>
      </x:c>
      <x:c r="E98" s="39" t="n">
        <x:f>'Tasks'!F52</x:f>
        <x:v>2</x:v>
      </x:c>
      <x:c r="F98" s="39" t="n">
        <x:f>'Tasks'!K52</x:f>
        <x:v>108</x:v>
      </x:c>
      <x:c r="G98" s="39" t="n">
        <x:f>'Tasks'!L52</x:f>
        <x:v>109</x:v>
      </x:c>
      <x:c r="H98" s="39" t="n">
        <x:f>MAX(0,MIN($G98,5)-MAX($F98,1)+1)*$D98/$E98</x:f>
        <x:v>0</x:v>
      </x:c>
      <x:c r="I98" s="39" t="n">
        <x:f>MAX(0,MIN($G98,10)-MAX($F98,6)+1)*$D98/$E98</x:f>
        <x:v>0</x:v>
      </x:c>
      <x:c r="J98" s="39" t="n">
        <x:f>MAX(0,MIN($G98,15)-MAX($F98,11)+1)*$D98/$E98</x:f>
        <x:v>0</x:v>
      </x:c>
      <x:c r="K98" s="39" t="n">
        <x:f>MAX(0,MIN($G98,20)-MAX($F98,16)+1)*$D98/$E98</x:f>
        <x:v>0</x:v>
      </x:c>
      <x:c r="L98" s="39" t="n">
        <x:f>MAX(0,MIN($G98,25)-MAX($F98,21)+1)*$D98/$E98</x:f>
        <x:v>0</x:v>
      </x:c>
      <x:c r="M98" s="39" t="n">
        <x:f>MAX(0,MIN($G98,30)-MAX($F98,26)+1)*$D98/$E98</x:f>
        <x:v>0</x:v>
      </x:c>
      <x:c r="N98" s="39" t="n">
        <x:f>MAX(0,MIN($G98,35)-MAX($F98,31)+1)*$D98/$E98</x:f>
        <x:v>0</x:v>
      </x:c>
      <x:c r="O98" s="39" t="n">
        <x:f>MAX(0,MIN($G98,40)-MAX($F98,36)+1)*$D98/$E98</x:f>
        <x:v>0</x:v>
      </x:c>
      <x:c r="P98" s="39" t="n">
        <x:f>MAX(0,MIN($G98,45)-MAX($F98,41)+1)*$D98/$E98</x:f>
        <x:v>0</x:v>
      </x:c>
      <x:c r="Q98" s="39" t="n">
        <x:f>MAX(0,MIN($G98,50)-MAX($F98,46)+1)*$D98/$E98</x:f>
        <x:v>0</x:v>
      </x:c>
      <x:c r="R98" s="39" t="n">
        <x:f>MAX(0,MIN($G98,55)-MAX($F98,51)+1)*$D98/$E98</x:f>
        <x:v>0</x:v>
      </x:c>
      <x:c r="S98" s="39" t="n">
        <x:f>MAX(0,MIN($G98,60)-MAX($F98,56)+1)*$D98/$E98</x:f>
        <x:v>0</x:v>
      </x:c>
      <x:c r="T98" s="39" t="n">
        <x:f>MAX(0,MIN($G98,65)-MAX($F98,61)+1)*$D98/$E98</x:f>
        <x:v>0</x:v>
      </x:c>
      <x:c r="U98" s="39" t="n">
        <x:f>MAX(0,MIN($G98,70)-MAX($F98,66)+1)*$D98/$E98</x:f>
        <x:v>0</x:v>
      </x:c>
      <x:c r="V98" s="39" t="n">
        <x:f>MAX(0,MIN($G98,75)-MAX($F98,71)+1)*$D98/$E98</x:f>
        <x:v>0</x:v>
      </x:c>
      <x:c r="W98" s="39" t="n">
        <x:f>MAX(0,MIN($G98,80)-MAX($F98,76)+1)*$D98/$E98</x:f>
        <x:v>0</x:v>
      </x:c>
      <x:c r="X98" s="39" t="n">
        <x:f>MAX(0,MIN($G98,85)-MAX($F98,81)+1)*$D98/$E98</x:f>
        <x:v>0</x:v>
      </x:c>
      <x:c r="Y98" s="39" t="n">
        <x:f>MAX(0,MIN($G98,90)-MAX($F98,86)+1)*$D98/$E98</x:f>
        <x:v>0</x:v>
      </x:c>
      <x:c r="Z98" s="39" t="n">
        <x:f>MAX(0,MIN($G98,95)-MAX($F98,91)+1)*$D98/$E98</x:f>
        <x:v>0</x:v>
      </x:c>
      <x:c r="AA98" s="39" t="n">
        <x:f>MAX(0,MIN($G98,100)-MAX($F98,96)+1)*$D98/$E98</x:f>
        <x:v>0</x:v>
      </x:c>
      <x:c r="AB98" s="39" t="n">
        <x:f>MAX(0,MIN($G98,105)-MAX($F98,101)+1)*$D98/$E98</x:f>
        <x:v>0</x:v>
      </x:c>
      <x:c r="AC98" s="39" t="n">
        <x:f>MAX(0,MIN($G98,110)-MAX($F98,106)+1)*$D98/$E98</x:f>
        <x:v>14</x:v>
      </x:c>
      <x:c r="AD98" s="39" t="n">
        <x:f>MAX(0,MIN($G98,115)-MAX($F98,111)+1)*$D98/$E98</x:f>
        <x:v>0</x:v>
      </x:c>
      <x:c r="AE98" s="39" t="n">
        <x:f>MAX(0,MIN($G98,120)-MAX($F98,116)+1)*$D98/$E98</x:f>
        <x:v>0</x:v>
      </x:c>
      <x:c r="AF98" s="39" t="n">
        <x:f>MAX(0,MIN($G98,125)-MAX($F98,121)+1)*$D98/$E98</x:f>
        <x:v>0</x:v>
      </x:c>
      <x:c r="AG98" s="39" t="n">
        <x:f>MAX(0,MIN($G98,130)-MAX($F98,126)+1)*$D98/$E98</x:f>
        <x:v>0</x:v>
      </x:c>
      <x:c r="AH98" s="39" t="n">
        <x:f>MAX(0,MIN($G98,135)-MAX($F98,131)+1)*$D98/$E98</x:f>
        <x:v>0</x:v>
      </x:c>
      <x:c r="AI98" s="39" t="n">
        <x:f>MAX(0,MIN($G98,140)-MAX($F98,136)+1)*$D98/$E98</x:f>
        <x:v>0</x:v>
      </x:c>
      <x:c r="AJ98" s="39" t="n">
        <x:f>MAX(0,MIN($G98,145)-MAX($F98,141)+1)*$D98/$E98</x:f>
        <x:v>0</x:v>
      </x:c>
      <x:c r="AK98" s="39" t="n">
        <x:f>MAX(0,MIN($G98,150)-MAX($F98,146)+1)*$D98/$E98</x:f>
        <x:v>0</x:v>
      </x:c>
      <x:c r="AL98" s="39" t="n">
        <x:f>MAX(0,MIN($G98,155)-MAX($F98,151)+1)*$D98/$E98</x:f>
        <x:v>0</x:v>
      </x:c>
      <x:c r="AM98" s="39" t="n">
        <x:f>MAX(0,MIN($G98,160)-MAX($F98,156)+1)*$D98/$E98</x:f>
        <x:v>0</x:v>
      </x:c>
      <x:c r="AN98" s="39" t="n">
        <x:f>MAX(0,MIN($G98,165)-MAX($F98,161)+1)*$D98/$E98</x:f>
        <x:v>0</x:v>
      </x:c>
      <x:c r="AO98" s="39" t="n">
        <x:f>MAX(0,MIN($G98,170)-MAX($F98,166)+1)*$D98/$E98</x:f>
        <x:v>0</x:v>
      </x:c>
      <x:c r="AP98" s="39" t="n">
        <x:f>MAX(0,MIN($G98,175)-MAX($F98,171)+1)*$D98/$E98</x:f>
        <x:v>0</x:v>
      </x:c>
      <x:c r="AQ98" s="39" t="n">
        <x:f>MAX(0,MIN($G98,180)-MAX($F98,176)+1)*$D98/$E98</x:f>
        <x:v>0</x:v>
      </x:c>
    </x:row>
    <x:row r="99" ht="27" customHeight="1">
      <x:c r="A99" s="9" t="str">
        <x:v>D10</x:v>
      </x:c>
      <x:c r="B99" s="9" t="str">
        <x:f>'Tasks'!P52</x:f>
        <x:v>KE</x:v>
      </x:c>
      <x:c r="C99" s="9" t="str">
        <x:v>Review</x:v>
      </x:c>
      <x:c r="D99" s="40" t="n">
        <x:f>'Tasks'!Q52</x:f>
        <x:v>4</x:v>
      </x:c>
      <x:c r="E99" s="40" t="n">
        <x:f>'Tasks'!F52</x:f>
        <x:v>2</x:v>
      </x:c>
      <x:c r="F99" s="40" t="n">
        <x:f>'Tasks'!K52</x:f>
        <x:v>108</x:v>
      </x:c>
      <x:c r="G99" s="40" t="n">
        <x:f>'Tasks'!L52</x:f>
        <x:v>109</x:v>
      </x:c>
      <x:c r="H99" s="40" t="n">
        <x:f>MAX(0,MIN($G99,5)-MAX($F99,1)+1)*$D99/$E99</x:f>
        <x:v>0</x:v>
      </x:c>
      <x:c r="I99" s="40" t="n">
        <x:f>MAX(0,MIN($G99,10)-MAX($F99,6)+1)*$D99/$E99</x:f>
        <x:v>0</x:v>
      </x:c>
      <x:c r="J99" s="40" t="n">
        <x:f>MAX(0,MIN($G99,15)-MAX($F99,11)+1)*$D99/$E99</x:f>
        <x:v>0</x:v>
      </x:c>
      <x:c r="K99" s="40" t="n">
        <x:f>MAX(0,MIN($G99,20)-MAX($F99,16)+1)*$D99/$E99</x:f>
        <x:v>0</x:v>
      </x:c>
      <x:c r="L99" s="40" t="n">
        <x:f>MAX(0,MIN($G99,25)-MAX($F99,21)+1)*$D99/$E99</x:f>
        <x:v>0</x:v>
      </x:c>
      <x:c r="M99" s="40" t="n">
        <x:f>MAX(0,MIN($G99,30)-MAX($F99,26)+1)*$D99/$E99</x:f>
        <x:v>0</x:v>
      </x:c>
      <x:c r="N99" s="40" t="n">
        <x:f>MAX(0,MIN($G99,35)-MAX($F99,31)+1)*$D99/$E99</x:f>
        <x:v>0</x:v>
      </x:c>
      <x:c r="O99" s="40" t="n">
        <x:f>MAX(0,MIN($G99,40)-MAX($F99,36)+1)*$D99/$E99</x:f>
        <x:v>0</x:v>
      </x:c>
      <x:c r="P99" s="40" t="n">
        <x:f>MAX(0,MIN($G99,45)-MAX($F99,41)+1)*$D99/$E99</x:f>
        <x:v>0</x:v>
      </x:c>
      <x:c r="Q99" s="40" t="n">
        <x:f>MAX(0,MIN($G99,50)-MAX($F99,46)+1)*$D99/$E99</x:f>
        <x:v>0</x:v>
      </x:c>
      <x:c r="R99" s="40" t="n">
        <x:f>MAX(0,MIN($G99,55)-MAX($F99,51)+1)*$D99/$E99</x:f>
        <x:v>0</x:v>
      </x:c>
      <x:c r="S99" s="40" t="n">
        <x:f>MAX(0,MIN($G99,60)-MAX($F99,56)+1)*$D99/$E99</x:f>
        <x:v>0</x:v>
      </x:c>
      <x:c r="T99" s="40" t="n">
        <x:f>MAX(0,MIN($G99,65)-MAX($F99,61)+1)*$D99/$E99</x:f>
        <x:v>0</x:v>
      </x:c>
      <x:c r="U99" s="40" t="n">
        <x:f>MAX(0,MIN($G99,70)-MAX($F99,66)+1)*$D99/$E99</x:f>
        <x:v>0</x:v>
      </x:c>
      <x:c r="V99" s="40" t="n">
        <x:f>MAX(0,MIN($G99,75)-MAX($F99,71)+1)*$D99/$E99</x:f>
        <x:v>0</x:v>
      </x:c>
      <x:c r="W99" s="40" t="n">
        <x:f>MAX(0,MIN($G99,80)-MAX($F99,76)+1)*$D99/$E99</x:f>
        <x:v>0</x:v>
      </x:c>
      <x:c r="X99" s="40" t="n">
        <x:f>MAX(0,MIN($G99,85)-MAX($F99,81)+1)*$D99/$E99</x:f>
        <x:v>0</x:v>
      </x:c>
      <x:c r="Y99" s="40" t="n">
        <x:f>MAX(0,MIN($G99,90)-MAX($F99,86)+1)*$D99/$E99</x:f>
        <x:v>0</x:v>
      </x:c>
      <x:c r="Z99" s="40" t="n">
        <x:f>MAX(0,MIN($G99,95)-MAX($F99,91)+1)*$D99/$E99</x:f>
        <x:v>0</x:v>
      </x:c>
      <x:c r="AA99" s="40" t="n">
        <x:f>MAX(0,MIN($G99,100)-MAX($F99,96)+1)*$D99/$E99</x:f>
        <x:v>0</x:v>
      </x:c>
      <x:c r="AB99" s="40" t="n">
        <x:f>MAX(0,MIN($G99,105)-MAX($F99,101)+1)*$D99/$E99</x:f>
        <x:v>0</x:v>
      </x:c>
      <x:c r="AC99" s="40" t="n">
        <x:f>MAX(0,MIN($G99,110)-MAX($F99,106)+1)*$D99/$E99</x:f>
        <x:v>4</x:v>
      </x:c>
      <x:c r="AD99" s="40" t="n">
        <x:f>MAX(0,MIN($G99,115)-MAX($F99,111)+1)*$D99/$E99</x:f>
        <x:v>0</x:v>
      </x:c>
      <x:c r="AE99" s="40" t="n">
        <x:f>MAX(0,MIN($G99,120)-MAX($F99,116)+1)*$D99/$E99</x:f>
        <x:v>0</x:v>
      </x:c>
      <x:c r="AF99" s="40" t="n">
        <x:f>MAX(0,MIN($G99,125)-MAX($F99,121)+1)*$D99/$E99</x:f>
        <x:v>0</x:v>
      </x:c>
      <x:c r="AG99" s="40" t="n">
        <x:f>MAX(0,MIN($G99,130)-MAX($F99,126)+1)*$D99/$E99</x:f>
        <x:v>0</x:v>
      </x:c>
      <x:c r="AH99" s="40" t="n">
        <x:f>MAX(0,MIN($G99,135)-MAX($F99,131)+1)*$D99/$E99</x:f>
        <x:v>0</x:v>
      </x:c>
      <x:c r="AI99" s="40" t="n">
        <x:f>MAX(0,MIN($G99,140)-MAX($F99,136)+1)*$D99/$E99</x:f>
        <x:v>0</x:v>
      </x:c>
      <x:c r="AJ99" s="40" t="n">
        <x:f>MAX(0,MIN($G99,145)-MAX($F99,141)+1)*$D99/$E99</x:f>
        <x:v>0</x:v>
      </x:c>
      <x:c r="AK99" s="40" t="n">
        <x:f>MAX(0,MIN($G99,150)-MAX($F99,146)+1)*$D99/$E99</x:f>
        <x:v>0</x:v>
      </x:c>
      <x:c r="AL99" s="40" t="n">
        <x:f>MAX(0,MIN($G99,155)-MAX($F99,151)+1)*$D99/$E99</x:f>
        <x:v>0</x:v>
      </x:c>
      <x:c r="AM99" s="40" t="n">
        <x:f>MAX(0,MIN($G99,160)-MAX($F99,156)+1)*$D99/$E99</x:f>
        <x:v>0</x:v>
      </x:c>
      <x:c r="AN99" s="40" t="n">
        <x:f>MAX(0,MIN($G99,165)-MAX($F99,161)+1)*$D99/$E99</x:f>
        <x:v>0</x:v>
      </x:c>
      <x:c r="AO99" s="40" t="n">
        <x:f>MAX(0,MIN($G99,170)-MAX($F99,166)+1)*$D99/$E99</x:f>
        <x:v>0</x:v>
      </x:c>
      <x:c r="AP99" s="40" t="n">
        <x:f>MAX(0,MIN($G99,175)-MAX($F99,171)+1)*$D99/$E99</x:f>
        <x:v>0</x:v>
      </x:c>
      <x:c r="AQ99" s="40" t="n">
        <x:f>MAX(0,MIN($G99,180)-MAX($F99,176)+1)*$D99/$E99</x:f>
        <x:v>0</x:v>
      </x:c>
    </x:row>
    <x:row r="100" ht="27" customHeight="1">
      <x:c r="A100" s="10" t="str">
        <x:v>F03</x:v>
      </x:c>
      <x:c r="B100" s="10" t="str">
        <x:f>'Tasks'!D53</x:f>
        <x:v>AI</x:v>
      </x:c>
      <x:c r="C100" s="10" t="str">
        <x:v>Owner</x:v>
      </x:c>
      <x:c r="D100" s="39" t="n">
        <x:f>'Tasks'!O53</x:f>
        <x:v>26</x:v>
      </x:c>
      <x:c r="E100" s="39" t="n">
        <x:f>'Tasks'!F53</x:f>
        <x:v>5</x:v>
      </x:c>
      <x:c r="F100" s="39" t="n">
        <x:f>'Tasks'!K53</x:f>
        <x:v>61</x:v>
      </x:c>
      <x:c r="G100" s="39" t="n">
        <x:f>'Tasks'!L53</x:f>
        <x:v>65</x:v>
      </x:c>
      <x:c r="H100" s="39" t="n">
        <x:f>MAX(0,MIN($G100,5)-MAX($F100,1)+1)*$D100/$E100</x:f>
        <x:v>0</x:v>
      </x:c>
      <x:c r="I100" s="39" t="n">
        <x:f>MAX(0,MIN($G100,10)-MAX($F100,6)+1)*$D100/$E100</x:f>
        <x:v>0</x:v>
      </x:c>
      <x:c r="J100" s="39" t="n">
        <x:f>MAX(0,MIN($G100,15)-MAX($F100,11)+1)*$D100/$E100</x:f>
        <x:v>0</x:v>
      </x:c>
      <x:c r="K100" s="39" t="n">
        <x:f>MAX(0,MIN($G100,20)-MAX($F100,16)+1)*$D100/$E100</x:f>
        <x:v>0</x:v>
      </x:c>
      <x:c r="L100" s="39" t="n">
        <x:f>MAX(0,MIN($G100,25)-MAX($F100,21)+1)*$D100/$E100</x:f>
        <x:v>0</x:v>
      </x:c>
      <x:c r="M100" s="39" t="n">
        <x:f>MAX(0,MIN($G100,30)-MAX($F100,26)+1)*$D100/$E100</x:f>
        <x:v>0</x:v>
      </x:c>
      <x:c r="N100" s="39" t="n">
        <x:f>MAX(0,MIN($G100,35)-MAX($F100,31)+1)*$D100/$E100</x:f>
        <x:v>0</x:v>
      </x:c>
      <x:c r="O100" s="39" t="n">
        <x:f>MAX(0,MIN($G100,40)-MAX($F100,36)+1)*$D100/$E100</x:f>
        <x:v>0</x:v>
      </x:c>
      <x:c r="P100" s="39" t="n">
        <x:f>MAX(0,MIN($G100,45)-MAX($F100,41)+1)*$D100/$E100</x:f>
        <x:v>0</x:v>
      </x:c>
      <x:c r="Q100" s="39" t="n">
        <x:f>MAX(0,MIN($G100,50)-MAX($F100,46)+1)*$D100/$E100</x:f>
        <x:v>0</x:v>
      </x:c>
      <x:c r="R100" s="39" t="n">
        <x:f>MAX(0,MIN($G100,55)-MAX($F100,51)+1)*$D100/$E100</x:f>
        <x:v>0</x:v>
      </x:c>
      <x:c r="S100" s="39" t="n">
        <x:f>MAX(0,MIN($G100,60)-MAX($F100,56)+1)*$D100/$E100</x:f>
        <x:v>0</x:v>
      </x:c>
      <x:c r="T100" s="39" t="n">
        <x:f>MAX(0,MIN($G100,65)-MAX($F100,61)+1)*$D100/$E100</x:f>
        <x:v>26</x:v>
      </x:c>
      <x:c r="U100" s="39" t="n">
        <x:f>MAX(0,MIN($G100,70)-MAX($F100,66)+1)*$D100/$E100</x:f>
        <x:v>0</x:v>
      </x:c>
      <x:c r="V100" s="39" t="n">
        <x:f>MAX(0,MIN($G100,75)-MAX($F100,71)+1)*$D100/$E100</x:f>
        <x:v>0</x:v>
      </x:c>
      <x:c r="W100" s="39" t="n">
        <x:f>MAX(0,MIN($G100,80)-MAX($F100,76)+1)*$D100/$E100</x:f>
        <x:v>0</x:v>
      </x:c>
      <x:c r="X100" s="39" t="n">
        <x:f>MAX(0,MIN($G100,85)-MAX($F100,81)+1)*$D100/$E100</x:f>
        <x:v>0</x:v>
      </x:c>
      <x:c r="Y100" s="39" t="n">
        <x:f>MAX(0,MIN($G100,90)-MAX($F100,86)+1)*$D100/$E100</x:f>
        <x:v>0</x:v>
      </x:c>
      <x:c r="Z100" s="39" t="n">
        <x:f>MAX(0,MIN($G100,95)-MAX($F100,91)+1)*$D100/$E100</x:f>
        <x:v>0</x:v>
      </x:c>
      <x:c r="AA100" s="39" t="n">
        <x:f>MAX(0,MIN($G100,100)-MAX($F100,96)+1)*$D100/$E100</x:f>
        <x:v>0</x:v>
      </x:c>
      <x:c r="AB100" s="39" t="n">
        <x:f>MAX(0,MIN($G100,105)-MAX($F100,101)+1)*$D100/$E100</x:f>
        <x:v>0</x:v>
      </x:c>
      <x:c r="AC100" s="39" t="n">
        <x:f>MAX(0,MIN($G100,110)-MAX($F100,106)+1)*$D100/$E100</x:f>
        <x:v>0</x:v>
      </x:c>
      <x:c r="AD100" s="39" t="n">
        <x:f>MAX(0,MIN($G100,115)-MAX($F100,111)+1)*$D100/$E100</x:f>
        <x:v>0</x:v>
      </x:c>
      <x:c r="AE100" s="39" t="n">
        <x:f>MAX(0,MIN($G100,120)-MAX($F100,116)+1)*$D100/$E100</x:f>
        <x:v>0</x:v>
      </x:c>
      <x:c r="AF100" s="39" t="n">
        <x:f>MAX(0,MIN($G100,125)-MAX($F100,121)+1)*$D100/$E100</x:f>
        <x:v>0</x:v>
      </x:c>
      <x:c r="AG100" s="39" t="n">
        <x:f>MAX(0,MIN($G100,130)-MAX($F100,126)+1)*$D100/$E100</x:f>
        <x:v>0</x:v>
      </x:c>
      <x:c r="AH100" s="39" t="n">
        <x:f>MAX(0,MIN($G100,135)-MAX($F100,131)+1)*$D100/$E100</x:f>
        <x:v>0</x:v>
      </x:c>
      <x:c r="AI100" s="39" t="n">
        <x:f>MAX(0,MIN($G100,140)-MAX($F100,136)+1)*$D100/$E100</x:f>
        <x:v>0</x:v>
      </x:c>
      <x:c r="AJ100" s="39" t="n">
        <x:f>MAX(0,MIN($G100,145)-MAX($F100,141)+1)*$D100/$E100</x:f>
        <x:v>0</x:v>
      </x:c>
      <x:c r="AK100" s="39" t="n">
        <x:f>MAX(0,MIN($G100,150)-MAX($F100,146)+1)*$D100/$E100</x:f>
        <x:v>0</x:v>
      </x:c>
      <x:c r="AL100" s="39" t="n">
        <x:f>MAX(0,MIN($G100,155)-MAX($F100,151)+1)*$D100/$E100</x:f>
        <x:v>0</x:v>
      </x:c>
      <x:c r="AM100" s="39" t="n">
        <x:f>MAX(0,MIN($G100,160)-MAX($F100,156)+1)*$D100/$E100</x:f>
        <x:v>0</x:v>
      </x:c>
      <x:c r="AN100" s="39" t="n">
        <x:f>MAX(0,MIN($G100,165)-MAX($F100,161)+1)*$D100/$E100</x:f>
        <x:v>0</x:v>
      </x:c>
      <x:c r="AO100" s="39" t="n">
        <x:f>MAX(0,MIN($G100,170)-MAX($F100,166)+1)*$D100/$E100</x:f>
        <x:v>0</x:v>
      </x:c>
      <x:c r="AP100" s="39" t="n">
        <x:f>MAX(0,MIN($G100,175)-MAX($F100,171)+1)*$D100/$E100</x:f>
        <x:v>0</x:v>
      </x:c>
      <x:c r="AQ100" s="39" t="n">
        <x:f>MAX(0,MIN($G100,180)-MAX($F100,176)+1)*$D100/$E100</x:f>
        <x:v>0</x:v>
      </x:c>
    </x:row>
    <x:row r="101" ht="27" customHeight="1">
      <x:c r="A101" s="9" t="str">
        <x:v>F03</x:v>
      </x:c>
      <x:c r="B101" s="9" t="str">
        <x:f>'Tasks'!P53</x:f>
        <x:v>OPS</x:v>
      </x:c>
      <x:c r="C101" s="9" t="str">
        <x:v>Review</x:v>
      </x:c>
      <x:c r="D101" s="40" t="n">
        <x:f>'Tasks'!Q53</x:f>
        <x:v>8</x:v>
      </x:c>
      <x:c r="E101" s="40" t="n">
        <x:f>'Tasks'!F53</x:f>
        <x:v>5</x:v>
      </x:c>
      <x:c r="F101" s="40" t="n">
        <x:f>'Tasks'!K53</x:f>
        <x:v>61</x:v>
      </x:c>
      <x:c r="G101" s="40" t="n">
        <x:f>'Tasks'!L53</x:f>
        <x:v>65</x:v>
      </x:c>
      <x:c r="H101" s="40" t="n">
        <x:f>MAX(0,MIN($G101,5)-MAX($F101,1)+1)*$D101/$E101</x:f>
        <x:v>0</x:v>
      </x:c>
      <x:c r="I101" s="40" t="n">
        <x:f>MAX(0,MIN($G101,10)-MAX($F101,6)+1)*$D101/$E101</x:f>
        <x:v>0</x:v>
      </x:c>
      <x:c r="J101" s="40" t="n">
        <x:f>MAX(0,MIN($G101,15)-MAX($F101,11)+1)*$D101/$E101</x:f>
        <x:v>0</x:v>
      </x:c>
      <x:c r="K101" s="40" t="n">
        <x:f>MAX(0,MIN($G101,20)-MAX($F101,16)+1)*$D101/$E101</x:f>
        <x:v>0</x:v>
      </x:c>
      <x:c r="L101" s="40" t="n">
        <x:f>MAX(0,MIN($G101,25)-MAX($F101,21)+1)*$D101/$E101</x:f>
        <x:v>0</x:v>
      </x:c>
      <x:c r="M101" s="40" t="n">
        <x:f>MAX(0,MIN($G101,30)-MAX($F101,26)+1)*$D101/$E101</x:f>
        <x:v>0</x:v>
      </x:c>
      <x:c r="N101" s="40" t="n">
        <x:f>MAX(0,MIN($G101,35)-MAX($F101,31)+1)*$D101/$E101</x:f>
        <x:v>0</x:v>
      </x:c>
      <x:c r="O101" s="40" t="n">
        <x:f>MAX(0,MIN($G101,40)-MAX($F101,36)+1)*$D101/$E101</x:f>
        <x:v>0</x:v>
      </x:c>
      <x:c r="P101" s="40" t="n">
        <x:f>MAX(0,MIN($G101,45)-MAX($F101,41)+1)*$D101/$E101</x:f>
        <x:v>0</x:v>
      </x:c>
      <x:c r="Q101" s="40" t="n">
        <x:f>MAX(0,MIN($G101,50)-MAX($F101,46)+1)*$D101/$E101</x:f>
        <x:v>0</x:v>
      </x:c>
      <x:c r="R101" s="40" t="n">
        <x:f>MAX(0,MIN($G101,55)-MAX($F101,51)+1)*$D101/$E101</x:f>
        <x:v>0</x:v>
      </x:c>
      <x:c r="S101" s="40" t="n">
        <x:f>MAX(0,MIN($G101,60)-MAX($F101,56)+1)*$D101/$E101</x:f>
        <x:v>0</x:v>
      </x:c>
      <x:c r="T101" s="40" t="n">
        <x:f>MAX(0,MIN($G101,65)-MAX($F101,61)+1)*$D101/$E101</x:f>
        <x:v>8</x:v>
      </x:c>
      <x:c r="U101" s="40" t="n">
        <x:f>MAX(0,MIN($G101,70)-MAX($F101,66)+1)*$D101/$E101</x:f>
        <x:v>0</x:v>
      </x:c>
      <x:c r="V101" s="40" t="n">
        <x:f>MAX(0,MIN($G101,75)-MAX($F101,71)+1)*$D101/$E101</x:f>
        <x:v>0</x:v>
      </x:c>
      <x:c r="W101" s="40" t="n">
        <x:f>MAX(0,MIN($G101,80)-MAX($F101,76)+1)*$D101/$E101</x:f>
        <x:v>0</x:v>
      </x:c>
      <x:c r="X101" s="40" t="n">
        <x:f>MAX(0,MIN($G101,85)-MAX($F101,81)+1)*$D101/$E101</x:f>
        <x:v>0</x:v>
      </x:c>
      <x:c r="Y101" s="40" t="n">
        <x:f>MAX(0,MIN($G101,90)-MAX($F101,86)+1)*$D101/$E101</x:f>
        <x:v>0</x:v>
      </x:c>
      <x:c r="Z101" s="40" t="n">
        <x:f>MAX(0,MIN($G101,95)-MAX($F101,91)+1)*$D101/$E101</x:f>
        <x:v>0</x:v>
      </x:c>
      <x:c r="AA101" s="40" t="n">
        <x:f>MAX(0,MIN($G101,100)-MAX($F101,96)+1)*$D101/$E101</x:f>
        <x:v>0</x:v>
      </x:c>
      <x:c r="AB101" s="40" t="n">
        <x:f>MAX(0,MIN($G101,105)-MAX($F101,101)+1)*$D101/$E101</x:f>
        <x:v>0</x:v>
      </x:c>
      <x:c r="AC101" s="40" t="n">
        <x:f>MAX(0,MIN($G101,110)-MAX($F101,106)+1)*$D101/$E101</x:f>
        <x:v>0</x:v>
      </x:c>
      <x:c r="AD101" s="40" t="n">
        <x:f>MAX(0,MIN($G101,115)-MAX($F101,111)+1)*$D101/$E101</x:f>
        <x:v>0</x:v>
      </x:c>
      <x:c r="AE101" s="40" t="n">
        <x:f>MAX(0,MIN($G101,120)-MAX($F101,116)+1)*$D101/$E101</x:f>
        <x:v>0</x:v>
      </x:c>
      <x:c r="AF101" s="40" t="n">
        <x:f>MAX(0,MIN($G101,125)-MAX($F101,121)+1)*$D101/$E101</x:f>
        <x:v>0</x:v>
      </x:c>
      <x:c r="AG101" s="40" t="n">
        <x:f>MAX(0,MIN($G101,130)-MAX($F101,126)+1)*$D101/$E101</x:f>
        <x:v>0</x:v>
      </x:c>
      <x:c r="AH101" s="40" t="n">
        <x:f>MAX(0,MIN($G101,135)-MAX($F101,131)+1)*$D101/$E101</x:f>
        <x:v>0</x:v>
      </x:c>
      <x:c r="AI101" s="40" t="n">
        <x:f>MAX(0,MIN($G101,140)-MAX($F101,136)+1)*$D101/$E101</x:f>
        <x:v>0</x:v>
      </x:c>
      <x:c r="AJ101" s="40" t="n">
        <x:f>MAX(0,MIN($G101,145)-MAX($F101,141)+1)*$D101/$E101</x:f>
        <x:v>0</x:v>
      </x:c>
      <x:c r="AK101" s="40" t="n">
        <x:f>MAX(0,MIN($G101,150)-MAX($F101,146)+1)*$D101/$E101</x:f>
        <x:v>0</x:v>
      </x:c>
      <x:c r="AL101" s="40" t="n">
        <x:f>MAX(0,MIN($G101,155)-MAX($F101,151)+1)*$D101/$E101</x:f>
        <x:v>0</x:v>
      </x:c>
      <x:c r="AM101" s="40" t="n">
        <x:f>MAX(0,MIN($G101,160)-MAX($F101,156)+1)*$D101/$E101</x:f>
        <x:v>0</x:v>
      </x:c>
      <x:c r="AN101" s="40" t="n">
        <x:f>MAX(0,MIN($G101,165)-MAX($F101,161)+1)*$D101/$E101</x:f>
        <x:v>0</x:v>
      </x:c>
      <x:c r="AO101" s="40" t="n">
        <x:f>MAX(0,MIN($G101,170)-MAX($F101,166)+1)*$D101/$E101</x:f>
        <x:v>0</x:v>
      </x:c>
      <x:c r="AP101" s="40" t="n">
        <x:f>MAX(0,MIN($G101,175)-MAX($F101,171)+1)*$D101/$E101</x:f>
        <x:v>0</x:v>
      </x:c>
      <x:c r="AQ101" s="40" t="n">
        <x:f>MAX(0,MIN($G101,180)-MAX($F101,176)+1)*$D101/$E101</x:f>
        <x:v>0</x:v>
      </x:c>
    </x:row>
    <x:row r="102" ht="27" customHeight="1">
      <x:c r="A102" s="10" t="str">
        <x:v>F04</x:v>
      </x:c>
      <x:c r="B102" s="10" t="str">
        <x:f>'Tasks'!D54</x:f>
        <x:v>HP</x:v>
      </x:c>
      <x:c r="C102" s="10" t="str">
        <x:v>Owner</x:v>
      </x:c>
      <x:c r="D102" s="39" t="n">
        <x:f>'Tasks'!O54</x:f>
        <x:v>14</x:v>
      </x:c>
      <x:c r="E102" s="39" t="n">
        <x:f>'Tasks'!F54</x:f>
        <x:v>3</x:v>
      </x:c>
      <x:c r="F102" s="39" t="n">
        <x:f>'Tasks'!K54</x:f>
        <x:v>66</x:v>
      </x:c>
      <x:c r="G102" s="39" t="n">
        <x:f>'Tasks'!L54</x:f>
        <x:v>68</x:v>
      </x:c>
      <x:c r="H102" s="39" t="n">
        <x:f>MAX(0,MIN($G102,5)-MAX($F102,1)+1)*$D102/$E102</x:f>
        <x:v>0</x:v>
      </x:c>
      <x:c r="I102" s="39" t="n">
        <x:f>MAX(0,MIN($G102,10)-MAX($F102,6)+1)*$D102/$E102</x:f>
        <x:v>0</x:v>
      </x:c>
      <x:c r="J102" s="39" t="n">
        <x:f>MAX(0,MIN($G102,15)-MAX($F102,11)+1)*$D102/$E102</x:f>
        <x:v>0</x:v>
      </x:c>
      <x:c r="K102" s="39" t="n">
        <x:f>MAX(0,MIN($G102,20)-MAX($F102,16)+1)*$D102/$E102</x:f>
        <x:v>0</x:v>
      </x:c>
      <x:c r="L102" s="39" t="n">
        <x:f>MAX(0,MIN($G102,25)-MAX($F102,21)+1)*$D102/$E102</x:f>
        <x:v>0</x:v>
      </x:c>
      <x:c r="M102" s="39" t="n">
        <x:f>MAX(0,MIN($G102,30)-MAX($F102,26)+1)*$D102/$E102</x:f>
        <x:v>0</x:v>
      </x:c>
      <x:c r="N102" s="39" t="n">
        <x:f>MAX(0,MIN($G102,35)-MAX($F102,31)+1)*$D102/$E102</x:f>
        <x:v>0</x:v>
      </x:c>
      <x:c r="O102" s="39" t="n">
        <x:f>MAX(0,MIN($G102,40)-MAX($F102,36)+1)*$D102/$E102</x:f>
        <x:v>0</x:v>
      </x:c>
      <x:c r="P102" s="39" t="n">
        <x:f>MAX(0,MIN($G102,45)-MAX($F102,41)+1)*$D102/$E102</x:f>
        <x:v>0</x:v>
      </x:c>
      <x:c r="Q102" s="39" t="n">
        <x:f>MAX(0,MIN($G102,50)-MAX($F102,46)+1)*$D102/$E102</x:f>
        <x:v>0</x:v>
      </x:c>
      <x:c r="R102" s="39" t="n">
        <x:f>MAX(0,MIN($G102,55)-MAX($F102,51)+1)*$D102/$E102</x:f>
        <x:v>0</x:v>
      </x:c>
      <x:c r="S102" s="39" t="n">
        <x:f>MAX(0,MIN($G102,60)-MAX($F102,56)+1)*$D102/$E102</x:f>
        <x:v>0</x:v>
      </x:c>
      <x:c r="T102" s="39" t="n">
        <x:f>MAX(0,MIN($G102,65)-MAX($F102,61)+1)*$D102/$E102</x:f>
        <x:v>0</x:v>
      </x:c>
      <x:c r="U102" s="39" t="n">
        <x:f>MAX(0,MIN($G102,70)-MAX($F102,66)+1)*$D102/$E102</x:f>
        <x:v>14</x:v>
      </x:c>
      <x:c r="V102" s="39" t="n">
        <x:f>MAX(0,MIN($G102,75)-MAX($F102,71)+1)*$D102/$E102</x:f>
        <x:v>0</x:v>
      </x:c>
      <x:c r="W102" s="39" t="n">
        <x:f>MAX(0,MIN($G102,80)-MAX($F102,76)+1)*$D102/$E102</x:f>
        <x:v>0</x:v>
      </x:c>
      <x:c r="X102" s="39" t="n">
        <x:f>MAX(0,MIN($G102,85)-MAX($F102,81)+1)*$D102/$E102</x:f>
        <x:v>0</x:v>
      </x:c>
      <x:c r="Y102" s="39" t="n">
        <x:f>MAX(0,MIN($G102,90)-MAX($F102,86)+1)*$D102/$E102</x:f>
        <x:v>0</x:v>
      </x:c>
      <x:c r="Z102" s="39" t="n">
        <x:f>MAX(0,MIN($G102,95)-MAX($F102,91)+1)*$D102/$E102</x:f>
        <x:v>0</x:v>
      </x:c>
      <x:c r="AA102" s="39" t="n">
        <x:f>MAX(0,MIN($G102,100)-MAX($F102,96)+1)*$D102/$E102</x:f>
        <x:v>0</x:v>
      </x:c>
      <x:c r="AB102" s="39" t="n">
        <x:f>MAX(0,MIN($G102,105)-MAX($F102,101)+1)*$D102/$E102</x:f>
        <x:v>0</x:v>
      </x:c>
      <x:c r="AC102" s="39" t="n">
        <x:f>MAX(0,MIN($G102,110)-MAX($F102,106)+1)*$D102/$E102</x:f>
        <x:v>0</x:v>
      </x:c>
      <x:c r="AD102" s="39" t="n">
        <x:f>MAX(0,MIN($G102,115)-MAX($F102,111)+1)*$D102/$E102</x:f>
        <x:v>0</x:v>
      </x:c>
      <x:c r="AE102" s="39" t="n">
        <x:f>MAX(0,MIN($G102,120)-MAX($F102,116)+1)*$D102/$E102</x:f>
        <x:v>0</x:v>
      </x:c>
      <x:c r="AF102" s="39" t="n">
        <x:f>MAX(0,MIN($G102,125)-MAX($F102,121)+1)*$D102/$E102</x:f>
        <x:v>0</x:v>
      </x:c>
      <x:c r="AG102" s="39" t="n">
        <x:f>MAX(0,MIN($G102,130)-MAX($F102,126)+1)*$D102/$E102</x:f>
        <x:v>0</x:v>
      </x:c>
      <x:c r="AH102" s="39" t="n">
        <x:f>MAX(0,MIN($G102,135)-MAX($F102,131)+1)*$D102/$E102</x:f>
        <x:v>0</x:v>
      </x:c>
      <x:c r="AI102" s="39" t="n">
        <x:f>MAX(0,MIN($G102,140)-MAX($F102,136)+1)*$D102/$E102</x:f>
        <x:v>0</x:v>
      </x:c>
      <x:c r="AJ102" s="39" t="n">
        <x:f>MAX(0,MIN($G102,145)-MAX($F102,141)+1)*$D102/$E102</x:f>
        <x:v>0</x:v>
      </x:c>
      <x:c r="AK102" s="39" t="n">
        <x:f>MAX(0,MIN($G102,150)-MAX($F102,146)+1)*$D102/$E102</x:f>
        <x:v>0</x:v>
      </x:c>
      <x:c r="AL102" s="39" t="n">
        <x:f>MAX(0,MIN($G102,155)-MAX($F102,151)+1)*$D102/$E102</x:f>
        <x:v>0</x:v>
      </x:c>
      <x:c r="AM102" s="39" t="n">
        <x:f>MAX(0,MIN($G102,160)-MAX($F102,156)+1)*$D102/$E102</x:f>
        <x:v>0</x:v>
      </x:c>
      <x:c r="AN102" s="39" t="n">
        <x:f>MAX(0,MIN($G102,165)-MAX($F102,161)+1)*$D102/$E102</x:f>
        <x:v>0</x:v>
      </x:c>
      <x:c r="AO102" s="39" t="n">
        <x:f>MAX(0,MIN($G102,170)-MAX($F102,166)+1)*$D102/$E102</x:f>
        <x:v>0</x:v>
      </x:c>
      <x:c r="AP102" s="39" t="n">
        <x:f>MAX(0,MIN($G102,175)-MAX($F102,171)+1)*$D102/$E102</x:f>
        <x:v>0</x:v>
      </x:c>
      <x:c r="AQ102" s="39" t="n">
        <x:f>MAX(0,MIN($G102,180)-MAX($F102,176)+1)*$D102/$E102</x:f>
        <x:v>0</x:v>
      </x:c>
    </x:row>
    <x:row r="103" ht="27" customHeight="1">
      <x:c r="A103" s="9" t="str">
        <x:v>F04</x:v>
      </x:c>
      <x:c r="B103" s="9" t="str">
        <x:f>'Tasks'!P54</x:f>
        <x:v>AI</x:v>
      </x:c>
      <x:c r="C103" s="9" t="str">
        <x:v>Review</x:v>
      </x:c>
      <x:c r="D103" s="40" t="n">
        <x:f>'Tasks'!Q54</x:f>
        <x:v>4</x:v>
      </x:c>
      <x:c r="E103" s="40" t="n">
        <x:f>'Tasks'!F54</x:f>
        <x:v>3</x:v>
      </x:c>
      <x:c r="F103" s="40" t="n">
        <x:f>'Tasks'!K54</x:f>
        <x:v>66</x:v>
      </x:c>
      <x:c r="G103" s="40" t="n">
        <x:f>'Tasks'!L54</x:f>
        <x:v>68</x:v>
      </x:c>
      <x:c r="H103" s="40" t="n">
        <x:f>MAX(0,MIN($G103,5)-MAX($F103,1)+1)*$D103/$E103</x:f>
        <x:v>0</x:v>
      </x:c>
      <x:c r="I103" s="40" t="n">
        <x:f>MAX(0,MIN($G103,10)-MAX($F103,6)+1)*$D103/$E103</x:f>
        <x:v>0</x:v>
      </x:c>
      <x:c r="J103" s="40" t="n">
        <x:f>MAX(0,MIN($G103,15)-MAX($F103,11)+1)*$D103/$E103</x:f>
        <x:v>0</x:v>
      </x:c>
      <x:c r="K103" s="40" t="n">
        <x:f>MAX(0,MIN($G103,20)-MAX($F103,16)+1)*$D103/$E103</x:f>
        <x:v>0</x:v>
      </x:c>
      <x:c r="L103" s="40" t="n">
        <x:f>MAX(0,MIN($G103,25)-MAX($F103,21)+1)*$D103/$E103</x:f>
        <x:v>0</x:v>
      </x:c>
      <x:c r="M103" s="40" t="n">
        <x:f>MAX(0,MIN($G103,30)-MAX($F103,26)+1)*$D103/$E103</x:f>
        <x:v>0</x:v>
      </x:c>
      <x:c r="N103" s="40" t="n">
        <x:f>MAX(0,MIN($G103,35)-MAX($F103,31)+1)*$D103/$E103</x:f>
        <x:v>0</x:v>
      </x:c>
      <x:c r="O103" s="40" t="n">
        <x:f>MAX(0,MIN($G103,40)-MAX($F103,36)+1)*$D103/$E103</x:f>
        <x:v>0</x:v>
      </x:c>
      <x:c r="P103" s="40" t="n">
        <x:f>MAX(0,MIN($G103,45)-MAX($F103,41)+1)*$D103/$E103</x:f>
        <x:v>0</x:v>
      </x:c>
      <x:c r="Q103" s="40" t="n">
        <x:f>MAX(0,MIN($G103,50)-MAX($F103,46)+1)*$D103/$E103</x:f>
        <x:v>0</x:v>
      </x:c>
      <x:c r="R103" s="40" t="n">
        <x:f>MAX(0,MIN($G103,55)-MAX($F103,51)+1)*$D103/$E103</x:f>
        <x:v>0</x:v>
      </x:c>
      <x:c r="S103" s="40" t="n">
        <x:f>MAX(0,MIN($G103,60)-MAX($F103,56)+1)*$D103/$E103</x:f>
        <x:v>0</x:v>
      </x:c>
      <x:c r="T103" s="40" t="n">
        <x:f>MAX(0,MIN($G103,65)-MAX($F103,61)+1)*$D103/$E103</x:f>
        <x:v>0</x:v>
      </x:c>
      <x:c r="U103" s="40" t="n">
        <x:f>MAX(0,MIN($G103,70)-MAX($F103,66)+1)*$D103/$E103</x:f>
        <x:v>4</x:v>
      </x:c>
      <x:c r="V103" s="40" t="n">
        <x:f>MAX(0,MIN($G103,75)-MAX($F103,71)+1)*$D103/$E103</x:f>
        <x:v>0</x:v>
      </x:c>
      <x:c r="W103" s="40" t="n">
        <x:f>MAX(0,MIN($G103,80)-MAX($F103,76)+1)*$D103/$E103</x:f>
        <x:v>0</x:v>
      </x:c>
      <x:c r="X103" s="40" t="n">
        <x:f>MAX(0,MIN($G103,85)-MAX($F103,81)+1)*$D103/$E103</x:f>
        <x:v>0</x:v>
      </x:c>
      <x:c r="Y103" s="40" t="n">
        <x:f>MAX(0,MIN($G103,90)-MAX($F103,86)+1)*$D103/$E103</x:f>
        <x:v>0</x:v>
      </x:c>
      <x:c r="Z103" s="40" t="n">
        <x:f>MAX(0,MIN($G103,95)-MAX($F103,91)+1)*$D103/$E103</x:f>
        <x:v>0</x:v>
      </x:c>
      <x:c r="AA103" s="40" t="n">
        <x:f>MAX(0,MIN($G103,100)-MAX($F103,96)+1)*$D103/$E103</x:f>
        <x:v>0</x:v>
      </x:c>
      <x:c r="AB103" s="40" t="n">
        <x:f>MAX(0,MIN($G103,105)-MAX($F103,101)+1)*$D103/$E103</x:f>
        <x:v>0</x:v>
      </x:c>
      <x:c r="AC103" s="40" t="n">
        <x:f>MAX(0,MIN($G103,110)-MAX($F103,106)+1)*$D103/$E103</x:f>
        <x:v>0</x:v>
      </x:c>
      <x:c r="AD103" s="40" t="n">
        <x:f>MAX(0,MIN($G103,115)-MAX($F103,111)+1)*$D103/$E103</x:f>
        <x:v>0</x:v>
      </x:c>
      <x:c r="AE103" s="40" t="n">
        <x:f>MAX(0,MIN($G103,120)-MAX($F103,116)+1)*$D103/$E103</x:f>
        <x:v>0</x:v>
      </x:c>
      <x:c r="AF103" s="40" t="n">
        <x:f>MAX(0,MIN($G103,125)-MAX($F103,121)+1)*$D103/$E103</x:f>
        <x:v>0</x:v>
      </x:c>
      <x:c r="AG103" s="40" t="n">
        <x:f>MAX(0,MIN($G103,130)-MAX($F103,126)+1)*$D103/$E103</x:f>
        <x:v>0</x:v>
      </x:c>
      <x:c r="AH103" s="40" t="n">
        <x:f>MAX(0,MIN($G103,135)-MAX($F103,131)+1)*$D103/$E103</x:f>
        <x:v>0</x:v>
      </x:c>
      <x:c r="AI103" s="40" t="n">
        <x:f>MAX(0,MIN($G103,140)-MAX($F103,136)+1)*$D103/$E103</x:f>
        <x:v>0</x:v>
      </x:c>
      <x:c r="AJ103" s="40" t="n">
        <x:f>MAX(0,MIN($G103,145)-MAX($F103,141)+1)*$D103/$E103</x:f>
        <x:v>0</x:v>
      </x:c>
      <x:c r="AK103" s="40" t="n">
        <x:f>MAX(0,MIN($G103,150)-MAX($F103,146)+1)*$D103/$E103</x:f>
        <x:v>0</x:v>
      </x:c>
      <x:c r="AL103" s="40" t="n">
        <x:f>MAX(0,MIN($G103,155)-MAX($F103,151)+1)*$D103/$E103</x:f>
        <x:v>0</x:v>
      </x:c>
      <x:c r="AM103" s="40" t="n">
        <x:f>MAX(0,MIN($G103,160)-MAX($F103,156)+1)*$D103/$E103</x:f>
        <x:v>0</x:v>
      </x:c>
      <x:c r="AN103" s="40" t="n">
        <x:f>MAX(0,MIN($G103,165)-MAX($F103,161)+1)*$D103/$E103</x:f>
        <x:v>0</x:v>
      </x:c>
      <x:c r="AO103" s="40" t="n">
        <x:f>MAX(0,MIN($G103,170)-MAX($F103,166)+1)*$D103/$E103</x:f>
        <x:v>0</x:v>
      </x:c>
      <x:c r="AP103" s="40" t="n">
        <x:f>MAX(0,MIN($G103,175)-MAX($F103,171)+1)*$D103/$E103</x:f>
        <x:v>0</x:v>
      </x:c>
      <x:c r="AQ103" s="40" t="n">
        <x:f>MAX(0,MIN($G103,180)-MAX($F103,176)+1)*$D103/$E103</x:f>
        <x:v>0</x:v>
      </x:c>
    </x:row>
    <x:row r="104" ht="27" customHeight="1">
      <x:c r="A104" s="10" t="str">
        <x:v>F05</x:v>
      </x:c>
      <x:c r="B104" s="10" t="str">
        <x:f>'Tasks'!D55</x:f>
        <x:v>AI</x:v>
      </x:c>
      <x:c r="C104" s="10" t="str">
        <x:v>Owner</x:v>
      </x:c>
      <x:c r="D104" s="39" t="n">
        <x:f>'Tasks'!O55</x:f>
        <x:v>30</x:v>
      </x:c>
      <x:c r="E104" s="39" t="n">
        <x:f>'Tasks'!F55</x:f>
        <x:v>6</x:v>
      </x:c>
      <x:c r="F104" s="39" t="n">
        <x:f>'Tasks'!K55</x:f>
        <x:v>69</x:v>
      </x:c>
      <x:c r="G104" s="39" t="n">
        <x:f>'Tasks'!L55</x:f>
        <x:v>74</x:v>
      </x:c>
      <x:c r="H104" s="39" t="n">
        <x:f>MAX(0,MIN($G104,5)-MAX($F104,1)+1)*$D104/$E104</x:f>
        <x:v>0</x:v>
      </x:c>
      <x:c r="I104" s="39" t="n">
        <x:f>MAX(0,MIN($G104,10)-MAX($F104,6)+1)*$D104/$E104</x:f>
        <x:v>0</x:v>
      </x:c>
      <x:c r="J104" s="39" t="n">
        <x:f>MAX(0,MIN($G104,15)-MAX($F104,11)+1)*$D104/$E104</x:f>
        <x:v>0</x:v>
      </x:c>
      <x:c r="K104" s="39" t="n">
        <x:f>MAX(0,MIN($G104,20)-MAX($F104,16)+1)*$D104/$E104</x:f>
        <x:v>0</x:v>
      </x:c>
      <x:c r="L104" s="39" t="n">
        <x:f>MAX(0,MIN($G104,25)-MAX($F104,21)+1)*$D104/$E104</x:f>
        <x:v>0</x:v>
      </x:c>
      <x:c r="M104" s="39" t="n">
        <x:f>MAX(0,MIN($G104,30)-MAX($F104,26)+1)*$D104/$E104</x:f>
        <x:v>0</x:v>
      </x:c>
      <x:c r="N104" s="39" t="n">
        <x:f>MAX(0,MIN($G104,35)-MAX($F104,31)+1)*$D104/$E104</x:f>
        <x:v>0</x:v>
      </x:c>
      <x:c r="O104" s="39" t="n">
        <x:f>MAX(0,MIN($G104,40)-MAX($F104,36)+1)*$D104/$E104</x:f>
        <x:v>0</x:v>
      </x:c>
      <x:c r="P104" s="39" t="n">
        <x:f>MAX(0,MIN($G104,45)-MAX($F104,41)+1)*$D104/$E104</x:f>
        <x:v>0</x:v>
      </x:c>
      <x:c r="Q104" s="39" t="n">
        <x:f>MAX(0,MIN($G104,50)-MAX($F104,46)+1)*$D104/$E104</x:f>
        <x:v>0</x:v>
      </x:c>
      <x:c r="R104" s="39" t="n">
        <x:f>MAX(0,MIN($G104,55)-MAX($F104,51)+1)*$D104/$E104</x:f>
        <x:v>0</x:v>
      </x:c>
      <x:c r="S104" s="39" t="n">
        <x:f>MAX(0,MIN($G104,60)-MAX($F104,56)+1)*$D104/$E104</x:f>
        <x:v>0</x:v>
      </x:c>
      <x:c r="T104" s="39" t="n">
        <x:f>MAX(0,MIN($G104,65)-MAX($F104,61)+1)*$D104/$E104</x:f>
        <x:v>0</x:v>
      </x:c>
      <x:c r="U104" s="39" t="n">
        <x:f>MAX(0,MIN($G104,70)-MAX($F104,66)+1)*$D104/$E104</x:f>
        <x:v>10</x:v>
      </x:c>
      <x:c r="V104" s="39" t="n">
        <x:f>MAX(0,MIN($G104,75)-MAX($F104,71)+1)*$D104/$E104</x:f>
        <x:v>20</x:v>
      </x:c>
      <x:c r="W104" s="39" t="n">
        <x:f>MAX(0,MIN($G104,80)-MAX($F104,76)+1)*$D104/$E104</x:f>
        <x:v>0</x:v>
      </x:c>
      <x:c r="X104" s="39" t="n">
        <x:f>MAX(0,MIN($G104,85)-MAX($F104,81)+1)*$D104/$E104</x:f>
        <x:v>0</x:v>
      </x:c>
      <x:c r="Y104" s="39" t="n">
        <x:f>MAX(0,MIN($G104,90)-MAX($F104,86)+1)*$D104/$E104</x:f>
        <x:v>0</x:v>
      </x:c>
      <x:c r="Z104" s="39" t="n">
        <x:f>MAX(0,MIN($G104,95)-MAX($F104,91)+1)*$D104/$E104</x:f>
        <x:v>0</x:v>
      </x:c>
      <x:c r="AA104" s="39" t="n">
        <x:f>MAX(0,MIN($G104,100)-MAX($F104,96)+1)*$D104/$E104</x:f>
        <x:v>0</x:v>
      </x:c>
      <x:c r="AB104" s="39" t="n">
        <x:f>MAX(0,MIN($G104,105)-MAX($F104,101)+1)*$D104/$E104</x:f>
        <x:v>0</x:v>
      </x:c>
      <x:c r="AC104" s="39" t="n">
        <x:f>MAX(0,MIN($G104,110)-MAX($F104,106)+1)*$D104/$E104</x:f>
        <x:v>0</x:v>
      </x:c>
      <x:c r="AD104" s="39" t="n">
        <x:f>MAX(0,MIN($G104,115)-MAX($F104,111)+1)*$D104/$E104</x:f>
        <x:v>0</x:v>
      </x:c>
      <x:c r="AE104" s="39" t="n">
        <x:f>MAX(0,MIN($G104,120)-MAX($F104,116)+1)*$D104/$E104</x:f>
        <x:v>0</x:v>
      </x:c>
      <x:c r="AF104" s="39" t="n">
        <x:f>MAX(0,MIN($G104,125)-MAX($F104,121)+1)*$D104/$E104</x:f>
        <x:v>0</x:v>
      </x:c>
      <x:c r="AG104" s="39" t="n">
        <x:f>MAX(0,MIN($G104,130)-MAX($F104,126)+1)*$D104/$E104</x:f>
        <x:v>0</x:v>
      </x:c>
      <x:c r="AH104" s="39" t="n">
        <x:f>MAX(0,MIN($G104,135)-MAX($F104,131)+1)*$D104/$E104</x:f>
        <x:v>0</x:v>
      </x:c>
      <x:c r="AI104" s="39" t="n">
        <x:f>MAX(0,MIN($G104,140)-MAX($F104,136)+1)*$D104/$E104</x:f>
        <x:v>0</x:v>
      </x:c>
      <x:c r="AJ104" s="39" t="n">
        <x:f>MAX(0,MIN($G104,145)-MAX($F104,141)+1)*$D104/$E104</x:f>
        <x:v>0</x:v>
      </x:c>
      <x:c r="AK104" s="39" t="n">
        <x:f>MAX(0,MIN($G104,150)-MAX($F104,146)+1)*$D104/$E104</x:f>
        <x:v>0</x:v>
      </x:c>
      <x:c r="AL104" s="39" t="n">
        <x:f>MAX(0,MIN($G104,155)-MAX($F104,151)+1)*$D104/$E104</x:f>
        <x:v>0</x:v>
      </x:c>
      <x:c r="AM104" s="39" t="n">
        <x:f>MAX(0,MIN($G104,160)-MAX($F104,156)+1)*$D104/$E104</x:f>
        <x:v>0</x:v>
      </x:c>
      <x:c r="AN104" s="39" t="n">
        <x:f>MAX(0,MIN($G104,165)-MAX($F104,161)+1)*$D104/$E104</x:f>
        <x:v>0</x:v>
      </x:c>
      <x:c r="AO104" s="39" t="n">
        <x:f>MAX(0,MIN($G104,170)-MAX($F104,166)+1)*$D104/$E104</x:f>
        <x:v>0</x:v>
      </x:c>
      <x:c r="AP104" s="39" t="n">
        <x:f>MAX(0,MIN($G104,175)-MAX($F104,171)+1)*$D104/$E104</x:f>
        <x:v>0</x:v>
      </x:c>
      <x:c r="AQ104" s="39" t="n">
        <x:f>MAX(0,MIN($G104,180)-MAX($F104,176)+1)*$D104/$E104</x:f>
        <x:v>0</x:v>
      </x:c>
    </x:row>
    <x:row r="105" ht="27" customHeight="1">
      <x:c r="A105" s="9" t="str">
        <x:v>F05</x:v>
      </x:c>
      <x:c r="B105" s="9" t="str">
        <x:f>'Tasks'!P55</x:f>
        <x:v>TD</x:v>
      </x:c>
      <x:c r="C105" s="9" t="str">
        <x:v>Review</x:v>
      </x:c>
      <x:c r="D105" s="40" t="n">
        <x:f>'Tasks'!Q55</x:f>
        <x:v>8</x:v>
      </x:c>
      <x:c r="E105" s="40" t="n">
        <x:f>'Tasks'!F55</x:f>
        <x:v>6</x:v>
      </x:c>
      <x:c r="F105" s="40" t="n">
        <x:f>'Tasks'!K55</x:f>
        <x:v>69</x:v>
      </x:c>
      <x:c r="G105" s="40" t="n">
        <x:f>'Tasks'!L55</x:f>
        <x:v>74</x:v>
      </x:c>
      <x:c r="H105" s="40" t="n">
        <x:f>MAX(0,MIN($G105,5)-MAX($F105,1)+1)*$D105/$E105</x:f>
        <x:v>0</x:v>
      </x:c>
      <x:c r="I105" s="40" t="n">
        <x:f>MAX(0,MIN($G105,10)-MAX($F105,6)+1)*$D105/$E105</x:f>
        <x:v>0</x:v>
      </x:c>
      <x:c r="J105" s="40" t="n">
        <x:f>MAX(0,MIN($G105,15)-MAX($F105,11)+1)*$D105/$E105</x:f>
        <x:v>0</x:v>
      </x:c>
      <x:c r="K105" s="40" t="n">
        <x:f>MAX(0,MIN($G105,20)-MAX($F105,16)+1)*$D105/$E105</x:f>
        <x:v>0</x:v>
      </x:c>
      <x:c r="L105" s="40" t="n">
        <x:f>MAX(0,MIN($G105,25)-MAX($F105,21)+1)*$D105/$E105</x:f>
        <x:v>0</x:v>
      </x:c>
      <x:c r="M105" s="40" t="n">
        <x:f>MAX(0,MIN($G105,30)-MAX($F105,26)+1)*$D105/$E105</x:f>
        <x:v>0</x:v>
      </x:c>
      <x:c r="N105" s="40" t="n">
        <x:f>MAX(0,MIN($G105,35)-MAX($F105,31)+1)*$D105/$E105</x:f>
        <x:v>0</x:v>
      </x:c>
      <x:c r="O105" s="40" t="n">
        <x:f>MAX(0,MIN($G105,40)-MAX($F105,36)+1)*$D105/$E105</x:f>
        <x:v>0</x:v>
      </x:c>
      <x:c r="P105" s="40" t="n">
        <x:f>MAX(0,MIN($G105,45)-MAX($F105,41)+1)*$D105/$E105</x:f>
        <x:v>0</x:v>
      </x:c>
      <x:c r="Q105" s="40" t="n">
        <x:f>MAX(0,MIN($G105,50)-MAX($F105,46)+1)*$D105/$E105</x:f>
        <x:v>0</x:v>
      </x:c>
      <x:c r="R105" s="40" t="n">
        <x:f>MAX(0,MIN($G105,55)-MAX($F105,51)+1)*$D105/$E105</x:f>
        <x:v>0</x:v>
      </x:c>
      <x:c r="S105" s="40" t="n">
        <x:f>MAX(0,MIN($G105,60)-MAX($F105,56)+1)*$D105/$E105</x:f>
        <x:v>0</x:v>
      </x:c>
      <x:c r="T105" s="40" t="n">
        <x:f>MAX(0,MIN($G105,65)-MAX($F105,61)+1)*$D105/$E105</x:f>
        <x:v>0</x:v>
      </x:c>
      <x:c r="U105" s="40" t="n">
        <x:f>MAX(0,MIN($G105,70)-MAX($F105,66)+1)*$D105/$E105</x:f>
        <x:v>2.6666666666666665</x:v>
      </x:c>
      <x:c r="V105" s="40" t="n">
        <x:f>MAX(0,MIN($G105,75)-MAX($F105,71)+1)*$D105/$E105</x:f>
        <x:v>5.333333333333333</x:v>
      </x:c>
      <x:c r="W105" s="40" t="n">
        <x:f>MAX(0,MIN($G105,80)-MAX($F105,76)+1)*$D105/$E105</x:f>
        <x:v>0</x:v>
      </x:c>
      <x:c r="X105" s="40" t="n">
        <x:f>MAX(0,MIN($G105,85)-MAX($F105,81)+1)*$D105/$E105</x:f>
        <x:v>0</x:v>
      </x:c>
      <x:c r="Y105" s="40" t="n">
        <x:f>MAX(0,MIN($G105,90)-MAX($F105,86)+1)*$D105/$E105</x:f>
        <x:v>0</x:v>
      </x:c>
      <x:c r="Z105" s="40" t="n">
        <x:f>MAX(0,MIN($G105,95)-MAX($F105,91)+1)*$D105/$E105</x:f>
        <x:v>0</x:v>
      </x:c>
      <x:c r="AA105" s="40" t="n">
        <x:f>MAX(0,MIN($G105,100)-MAX($F105,96)+1)*$D105/$E105</x:f>
        <x:v>0</x:v>
      </x:c>
      <x:c r="AB105" s="40" t="n">
        <x:f>MAX(0,MIN($G105,105)-MAX($F105,101)+1)*$D105/$E105</x:f>
        <x:v>0</x:v>
      </x:c>
      <x:c r="AC105" s="40" t="n">
        <x:f>MAX(0,MIN($G105,110)-MAX($F105,106)+1)*$D105/$E105</x:f>
        <x:v>0</x:v>
      </x:c>
      <x:c r="AD105" s="40" t="n">
        <x:f>MAX(0,MIN($G105,115)-MAX($F105,111)+1)*$D105/$E105</x:f>
        <x:v>0</x:v>
      </x:c>
      <x:c r="AE105" s="40" t="n">
        <x:f>MAX(0,MIN($G105,120)-MAX($F105,116)+1)*$D105/$E105</x:f>
        <x:v>0</x:v>
      </x:c>
      <x:c r="AF105" s="40" t="n">
        <x:f>MAX(0,MIN($G105,125)-MAX($F105,121)+1)*$D105/$E105</x:f>
        <x:v>0</x:v>
      </x:c>
      <x:c r="AG105" s="40" t="n">
        <x:f>MAX(0,MIN($G105,130)-MAX($F105,126)+1)*$D105/$E105</x:f>
        <x:v>0</x:v>
      </x:c>
      <x:c r="AH105" s="40" t="n">
        <x:f>MAX(0,MIN($G105,135)-MAX($F105,131)+1)*$D105/$E105</x:f>
        <x:v>0</x:v>
      </x:c>
      <x:c r="AI105" s="40" t="n">
        <x:f>MAX(0,MIN($G105,140)-MAX($F105,136)+1)*$D105/$E105</x:f>
        <x:v>0</x:v>
      </x:c>
      <x:c r="AJ105" s="40" t="n">
        <x:f>MAX(0,MIN($G105,145)-MAX($F105,141)+1)*$D105/$E105</x:f>
        <x:v>0</x:v>
      </x:c>
      <x:c r="AK105" s="40" t="n">
        <x:f>MAX(0,MIN($G105,150)-MAX($F105,146)+1)*$D105/$E105</x:f>
        <x:v>0</x:v>
      </x:c>
      <x:c r="AL105" s="40" t="n">
        <x:f>MAX(0,MIN($G105,155)-MAX($F105,151)+1)*$D105/$E105</x:f>
        <x:v>0</x:v>
      </x:c>
      <x:c r="AM105" s="40" t="n">
        <x:f>MAX(0,MIN($G105,160)-MAX($F105,156)+1)*$D105/$E105</x:f>
        <x:v>0</x:v>
      </x:c>
      <x:c r="AN105" s="40" t="n">
        <x:f>MAX(0,MIN($G105,165)-MAX($F105,161)+1)*$D105/$E105</x:f>
        <x:v>0</x:v>
      </x:c>
      <x:c r="AO105" s="40" t="n">
        <x:f>MAX(0,MIN($G105,170)-MAX($F105,166)+1)*$D105/$E105</x:f>
        <x:v>0</x:v>
      </x:c>
      <x:c r="AP105" s="40" t="n">
        <x:f>MAX(0,MIN($G105,175)-MAX($F105,171)+1)*$D105/$E105</x:f>
        <x:v>0</x:v>
      </x:c>
      <x:c r="AQ105" s="40" t="n">
        <x:f>MAX(0,MIN($G105,180)-MAX($F105,176)+1)*$D105/$E105</x:f>
        <x:v>0</x:v>
      </x:c>
    </x:row>
    <x:row r="106" ht="27" customHeight="1">
      <x:c r="A106" s="10" t="str">
        <x:v>F06</x:v>
      </x:c>
      <x:c r="B106" s="10" t="str">
        <x:f>'Tasks'!D56</x:f>
        <x:v>AI</x:v>
      </x:c>
      <x:c r="C106" s="10" t="str">
        <x:v>Owner</x:v>
      </x:c>
      <x:c r="D106" s="39" t="n">
        <x:f>'Tasks'!O56</x:f>
        <x:v>52</x:v>
      </x:c>
      <x:c r="E106" s="39" t="n">
        <x:f>'Tasks'!F56</x:f>
        <x:v>12</x:v>
      </x:c>
      <x:c r="F106" s="39" t="n">
        <x:f>'Tasks'!K56</x:f>
        <x:v>85</x:v>
      </x:c>
      <x:c r="G106" s="39" t="n">
        <x:f>'Tasks'!L56</x:f>
        <x:v>96</x:v>
      </x:c>
      <x:c r="H106" s="39" t="n">
        <x:f>MAX(0,MIN($G106,5)-MAX($F106,1)+1)*$D106/$E106</x:f>
        <x:v>0</x:v>
      </x:c>
      <x:c r="I106" s="39" t="n">
        <x:f>MAX(0,MIN($G106,10)-MAX($F106,6)+1)*$D106/$E106</x:f>
        <x:v>0</x:v>
      </x:c>
      <x:c r="J106" s="39" t="n">
        <x:f>MAX(0,MIN($G106,15)-MAX($F106,11)+1)*$D106/$E106</x:f>
        <x:v>0</x:v>
      </x:c>
      <x:c r="K106" s="39" t="n">
        <x:f>MAX(0,MIN($G106,20)-MAX($F106,16)+1)*$D106/$E106</x:f>
        <x:v>0</x:v>
      </x:c>
      <x:c r="L106" s="39" t="n">
        <x:f>MAX(0,MIN($G106,25)-MAX($F106,21)+1)*$D106/$E106</x:f>
        <x:v>0</x:v>
      </x:c>
      <x:c r="M106" s="39" t="n">
        <x:f>MAX(0,MIN($G106,30)-MAX($F106,26)+1)*$D106/$E106</x:f>
        <x:v>0</x:v>
      </x:c>
      <x:c r="N106" s="39" t="n">
        <x:f>MAX(0,MIN($G106,35)-MAX($F106,31)+1)*$D106/$E106</x:f>
        <x:v>0</x:v>
      </x:c>
      <x:c r="O106" s="39" t="n">
        <x:f>MAX(0,MIN($G106,40)-MAX($F106,36)+1)*$D106/$E106</x:f>
        <x:v>0</x:v>
      </x:c>
      <x:c r="P106" s="39" t="n">
        <x:f>MAX(0,MIN($G106,45)-MAX($F106,41)+1)*$D106/$E106</x:f>
        <x:v>0</x:v>
      </x:c>
      <x:c r="Q106" s="39" t="n">
        <x:f>MAX(0,MIN($G106,50)-MAX($F106,46)+1)*$D106/$E106</x:f>
        <x:v>0</x:v>
      </x:c>
      <x:c r="R106" s="39" t="n">
        <x:f>MAX(0,MIN($G106,55)-MAX($F106,51)+1)*$D106/$E106</x:f>
        <x:v>0</x:v>
      </x:c>
      <x:c r="S106" s="39" t="n">
        <x:f>MAX(0,MIN($G106,60)-MAX($F106,56)+1)*$D106/$E106</x:f>
        <x:v>0</x:v>
      </x:c>
      <x:c r="T106" s="39" t="n">
        <x:f>MAX(0,MIN($G106,65)-MAX($F106,61)+1)*$D106/$E106</x:f>
        <x:v>0</x:v>
      </x:c>
      <x:c r="U106" s="39" t="n">
        <x:f>MAX(0,MIN($G106,70)-MAX($F106,66)+1)*$D106/$E106</x:f>
        <x:v>0</x:v>
      </x:c>
      <x:c r="V106" s="39" t="n">
        <x:f>MAX(0,MIN($G106,75)-MAX($F106,71)+1)*$D106/$E106</x:f>
        <x:v>0</x:v>
      </x:c>
      <x:c r="W106" s="39" t="n">
        <x:f>MAX(0,MIN($G106,80)-MAX($F106,76)+1)*$D106/$E106</x:f>
        <x:v>0</x:v>
      </x:c>
      <x:c r="X106" s="39" t="n">
        <x:f>MAX(0,MIN($G106,85)-MAX($F106,81)+1)*$D106/$E106</x:f>
        <x:v>4.333333333333333</x:v>
      </x:c>
      <x:c r="Y106" s="39" t="n">
        <x:f>MAX(0,MIN($G106,90)-MAX($F106,86)+1)*$D106/$E106</x:f>
        <x:v>21.666666666666668</x:v>
      </x:c>
      <x:c r="Z106" s="39" t="n">
        <x:f>MAX(0,MIN($G106,95)-MAX($F106,91)+1)*$D106/$E106</x:f>
        <x:v>21.666666666666668</x:v>
      </x:c>
      <x:c r="AA106" s="39" t="n">
        <x:f>MAX(0,MIN($G106,100)-MAX($F106,96)+1)*$D106/$E106</x:f>
        <x:v>4.333333333333333</x:v>
      </x:c>
      <x:c r="AB106" s="39" t="n">
        <x:f>MAX(0,MIN($G106,105)-MAX($F106,101)+1)*$D106/$E106</x:f>
        <x:v>0</x:v>
      </x:c>
      <x:c r="AC106" s="39" t="n">
        <x:f>MAX(0,MIN($G106,110)-MAX($F106,106)+1)*$D106/$E106</x:f>
        <x:v>0</x:v>
      </x:c>
      <x:c r="AD106" s="39" t="n">
        <x:f>MAX(0,MIN($G106,115)-MAX($F106,111)+1)*$D106/$E106</x:f>
        <x:v>0</x:v>
      </x:c>
      <x:c r="AE106" s="39" t="n">
        <x:f>MAX(0,MIN($G106,120)-MAX($F106,116)+1)*$D106/$E106</x:f>
        <x:v>0</x:v>
      </x:c>
      <x:c r="AF106" s="39" t="n">
        <x:f>MAX(0,MIN($G106,125)-MAX($F106,121)+1)*$D106/$E106</x:f>
        <x:v>0</x:v>
      </x:c>
      <x:c r="AG106" s="39" t="n">
        <x:f>MAX(0,MIN($G106,130)-MAX($F106,126)+1)*$D106/$E106</x:f>
        <x:v>0</x:v>
      </x:c>
      <x:c r="AH106" s="39" t="n">
        <x:f>MAX(0,MIN($G106,135)-MAX($F106,131)+1)*$D106/$E106</x:f>
        <x:v>0</x:v>
      </x:c>
      <x:c r="AI106" s="39" t="n">
        <x:f>MAX(0,MIN($G106,140)-MAX($F106,136)+1)*$D106/$E106</x:f>
        <x:v>0</x:v>
      </x:c>
      <x:c r="AJ106" s="39" t="n">
        <x:f>MAX(0,MIN($G106,145)-MAX($F106,141)+1)*$D106/$E106</x:f>
        <x:v>0</x:v>
      </x:c>
      <x:c r="AK106" s="39" t="n">
        <x:f>MAX(0,MIN($G106,150)-MAX($F106,146)+1)*$D106/$E106</x:f>
        <x:v>0</x:v>
      </x:c>
      <x:c r="AL106" s="39" t="n">
        <x:f>MAX(0,MIN($G106,155)-MAX($F106,151)+1)*$D106/$E106</x:f>
        <x:v>0</x:v>
      </x:c>
      <x:c r="AM106" s="39" t="n">
        <x:f>MAX(0,MIN($G106,160)-MAX($F106,156)+1)*$D106/$E106</x:f>
        <x:v>0</x:v>
      </x:c>
      <x:c r="AN106" s="39" t="n">
        <x:f>MAX(0,MIN($G106,165)-MAX($F106,161)+1)*$D106/$E106</x:f>
        <x:v>0</x:v>
      </x:c>
      <x:c r="AO106" s="39" t="n">
        <x:f>MAX(0,MIN($G106,170)-MAX($F106,166)+1)*$D106/$E106</x:f>
        <x:v>0</x:v>
      </x:c>
      <x:c r="AP106" s="39" t="n">
        <x:f>MAX(0,MIN($G106,175)-MAX($F106,171)+1)*$D106/$E106</x:f>
        <x:v>0</x:v>
      </x:c>
      <x:c r="AQ106" s="39" t="n">
        <x:f>MAX(0,MIN($G106,180)-MAX($F106,176)+1)*$D106/$E106</x:f>
        <x:v>0</x:v>
      </x:c>
    </x:row>
    <x:row r="107" ht="27" customHeight="1">
      <x:c r="A107" s="9" t="str">
        <x:v>F06</x:v>
      </x:c>
      <x:c r="B107" s="9" t="str">
        <x:f>'Tasks'!P56</x:f>
        <x:v>HP</x:v>
      </x:c>
      <x:c r="C107" s="9" t="str">
        <x:v>Review</x:v>
      </x:c>
      <x:c r="D107" s="40" t="n">
        <x:f>'Tasks'!Q56</x:f>
        <x:v>8</x:v>
      </x:c>
      <x:c r="E107" s="40" t="n">
        <x:f>'Tasks'!F56</x:f>
        <x:v>12</x:v>
      </x:c>
      <x:c r="F107" s="40" t="n">
        <x:f>'Tasks'!K56</x:f>
        <x:v>85</x:v>
      </x:c>
      <x:c r="G107" s="40" t="n">
        <x:f>'Tasks'!L56</x:f>
        <x:v>96</x:v>
      </x:c>
      <x:c r="H107" s="40" t="n">
        <x:f>MAX(0,MIN($G107,5)-MAX($F107,1)+1)*$D107/$E107</x:f>
        <x:v>0</x:v>
      </x:c>
      <x:c r="I107" s="40" t="n">
        <x:f>MAX(0,MIN($G107,10)-MAX($F107,6)+1)*$D107/$E107</x:f>
        <x:v>0</x:v>
      </x:c>
      <x:c r="J107" s="40" t="n">
        <x:f>MAX(0,MIN($G107,15)-MAX($F107,11)+1)*$D107/$E107</x:f>
        <x:v>0</x:v>
      </x:c>
      <x:c r="K107" s="40" t="n">
        <x:f>MAX(0,MIN($G107,20)-MAX($F107,16)+1)*$D107/$E107</x:f>
        <x:v>0</x:v>
      </x:c>
      <x:c r="L107" s="40" t="n">
        <x:f>MAX(0,MIN($G107,25)-MAX($F107,21)+1)*$D107/$E107</x:f>
        <x:v>0</x:v>
      </x:c>
      <x:c r="M107" s="40" t="n">
        <x:f>MAX(0,MIN($G107,30)-MAX($F107,26)+1)*$D107/$E107</x:f>
        <x:v>0</x:v>
      </x:c>
      <x:c r="N107" s="40" t="n">
        <x:f>MAX(0,MIN($G107,35)-MAX($F107,31)+1)*$D107/$E107</x:f>
        <x:v>0</x:v>
      </x:c>
      <x:c r="O107" s="40" t="n">
        <x:f>MAX(0,MIN($G107,40)-MAX($F107,36)+1)*$D107/$E107</x:f>
        <x:v>0</x:v>
      </x:c>
      <x:c r="P107" s="40" t="n">
        <x:f>MAX(0,MIN($G107,45)-MAX($F107,41)+1)*$D107/$E107</x:f>
        <x:v>0</x:v>
      </x:c>
      <x:c r="Q107" s="40" t="n">
        <x:f>MAX(0,MIN($G107,50)-MAX($F107,46)+1)*$D107/$E107</x:f>
        <x:v>0</x:v>
      </x:c>
      <x:c r="R107" s="40" t="n">
        <x:f>MAX(0,MIN($G107,55)-MAX($F107,51)+1)*$D107/$E107</x:f>
        <x:v>0</x:v>
      </x:c>
      <x:c r="S107" s="40" t="n">
        <x:f>MAX(0,MIN($G107,60)-MAX($F107,56)+1)*$D107/$E107</x:f>
        <x:v>0</x:v>
      </x:c>
      <x:c r="T107" s="40" t="n">
        <x:f>MAX(0,MIN($G107,65)-MAX($F107,61)+1)*$D107/$E107</x:f>
        <x:v>0</x:v>
      </x:c>
      <x:c r="U107" s="40" t="n">
        <x:f>MAX(0,MIN($G107,70)-MAX($F107,66)+1)*$D107/$E107</x:f>
        <x:v>0</x:v>
      </x:c>
      <x:c r="V107" s="40" t="n">
        <x:f>MAX(0,MIN($G107,75)-MAX($F107,71)+1)*$D107/$E107</x:f>
        <x:v>0</x:v>
      </x:c>
      <x:c r="W107" s="40" t="n">
        <x:f>MAX(0,MIN($G107,80)-MAX($F107,76)+1)*$D107/$E107</x:f>
        <x:v>0</x:v>
      </x:c>
      <x:c r="X107" s="40" t="n">
        <x:f>MAX(0,MIN($G107,85)-MAX($F107,81)+1)*$D107/$E107</x:f>
        <x:v>0.6666666666666666</x:v>
      </x:c>
      <x:c r="Y107" s="40" t="n">
        <x:f>MAX(0,MIN($G107,90)-MAX($F107,86)+1)*$D107/$E107</x:f>
        <x:v>3.3333333333333335</x:v>
      </x:c>
      <x:c r="Z107" s="40" t="n">
        <x:f>MAX(0,MIN($G107,95)-MAX($F107,91)+1)*$D107/$E107</x:f>
        <x:v>3.3333333333333335</x:v>
      </x:c>
      <x:c r="AA107" s="40" t="n">
        <x:f>MAX(0,MIN($G107,100)-MAX($F107,96)+1)*$D107/$E107</x:f>
        <x:v>0.6666666666666666</x:v>
      </x:c>
      <x:c r="AB107" s="40" t="n">
        <x:f>MAX(0,MIN($G107,105)-MAX($F107,101)+1)*$D107/$E107</x:f>
        <x:v>0</x:v>
      </x:c>
      <x:c r="AC107" s="40" t="n">
        <x:f>MAX(0,MIN($G107,110)-MAX($F107,106)+1)*$D107/$E107</x:f>
        <x:v>0</x:v>
      </x:c>
      <x:c r="AD107" s="40" t="n">
        <x:f>MAX(0,MIN($G107,115)-MAX($F107,111)+1)*$D107/$E107</x:f>
        <x:v>0</x:v>
      </x:c>
      <x:c r="AE107" s="40" t="n">
        <x:f>MAX(0,MIN($G107,120)-MAX($F107,116)+1)*$D107/$E107</x:f>
        <x:v>0</x:v>
      </x:c>
      <x:c r="AF107" s="40" t="n">
        <x:f>MAX(0,MIN($G107,125)-MAX($F107,121)+1)*$D107/$E107</x:f>
        <x:v>0</x:v>
      </x:c>
      <x:c r="AG107" s="40" t="n">
        <x:f>MAX(0,MIN($G107,130)-MAX($F107,126)+1)*$D107/$E107</x:f>
        <x:v>0</x:v>
      </x:c>
      <x:c r="AH107" s="40" t="n">
        <x:f>MAX(0,MIN($G107,135)-MAX($F107,131)+1)*$D107/$E107</x:f>
        <x:v>0</x:v>
      </x:c>
      <x:c r="AI107" s="40" t="n">
        <x:f>MAX(0,MIN($G107,140)-MAX($F107,136)+1)*$D107/$E107</x:f>
        <x:v>0</x:v>
      </x:c>
      <x:c r="AJ107" s="40" t="n">
        <x:f>MAX(0,MIN($G107,145)-MAX($F107,141)+1)*$D107/$E107</x:f>
        <x:v>0</x:v>
      </x:c>
      <x:c r="AK107" s="40" t="n">
        <x:f>MAX(0,MIN($G107,150)-MAX($F107,146)+1)*$D107/$E107</x:f>
        <x:v>0</x:v>
      </x:c>
      <x:c r="AL107" s="40" t="n">
        <x:f>MAX(0,MIN($G107,155)-MAX($F107,151)+1)*$D107/$E107</x:f>
        <x:v>0</x:v>
      </x:c>
      <x:c r="AM107" s="40" t="n">
        <x:f>MAX(0,MIN($G107,160)-MAX($F107,156)+1)*$D107/$E107</x:f>
        <x:v>0</x:v>
      </x:c>
      <x:c r="AN107" s="40" t="n">
        <x:f>MAX(0,MIN($G107,165)-MAX($F107,161)+1)*$D107/$E107</x:f>
        <x:v>0</x:v>
      </x:c>
      <x:c r="AO107" s="40" t="n">
        <x:f>MAX(0,MIN($G107,170)-MAX($F107,166)+1)*$D107/$E107</x:f>
        <x:v>0</x:v>
      </x:c>
      <x:c r="AP107" s="40" t="n">
        <x:f>MAX(0,MIN($G107,175)-MAX($F107,171)+1)*$D107/$E107</x:f>
        <x:v>0</x:v>
      </x:c>
      <x:c r="AQ107" s="40" t="n">
        <x:f>MAX(0,MIN($G107,180)-MAX($F107,176)+1)*$D107/$E107</x:f>
        <x:v>0</x:v>
      </x:c>
    </x:row>
    <x:row r="108" ht="27" customHeight="1">
      <x:c r="A108" s="10" t="str">
        <x:v>F07</x:v>
      </x:c>
      <x:c r="B108" s="10" t="str">
        <x:f>'Tasks'!D57</x:f>
        <x:v>AI</x:v>
      </x:c>
      <x:c r="C108" s="10" t="str">
        <x:v>Owner</x:v>
      </x:c>
      <x:c r="D108" s="39" t="n">
        <x:f>'Tasks'!O57</x:f>
        <x:v>20</x:v>
      </x:c>
      <x:c r="E108" s="39" t="n">
        <x:f>'Tasks'!F57</x:f>
        <x:v>3</x:v>
      </x:c>
      <x:c r="F108" s="39" t="n">
        <x:f>'Tasks'!K57</x:f>
        <x:v>110</x:v>
      </x:c>
      <x:c r="G108" s="39" t="n">
        <x:f>'Tasks'!L57</x:f>
        <x:v>112</x:v>
      </x:c>
      <x:c r="H108" s="39" t="n">
        <x:f>MAX(0,MIN($G108,5)-MAX($F108,1)+1)*$D108/$E108</x:f>
        <x:v>0</x:v>
      </x:c>
      <x:c r="I108" s="39" t="n">
        <x:f>MAX(0,MIN($G108,10)-MAX($F108,6)+1)*$D108/$E108</x:f>
        <x:v>0</x:v>
      </x:c>
      <x:c r="J108" s="39" t="n">
        <x:f>MAX(0,MIN($G108,15)-MAX($F108,11)+1)*$D108/$E108</x:f>
        <x:v>0</x:v>
      </x:c>
      <x:c r="K108" s="39" t="n">
        <x:f>MAX(0,MIN($G108,20)-MAX($F108,16)+1)*$D108/$E108</x:f>
        <x:v>0</x:v>
      </x:c>
      <x:c r="L108" s="39" t="n">
        <x:f>MAX(0,MIN($G108,25)-MAX($F108,21)+1)*$D108/$E108</x:f>
        <x:v>0</x:v>
      </x:c>
      <x:c r="M108" s="39" t="n">
        <x:f>MAX(0,MIN($G108,30)-MAX($F108,26)+1)*$D108/$E108</x:f>
        <x:v>0</x:v>
      </x:c>
      <x:c r="N108" s="39" t="n">
        <x:f>MAX(0,MIN($G108,35)-MAX($F108,31)+1)*$D108/$E108</x:f>
        <x:v>0</x:v>
      </x:c>
      <x:c r="O108" s="39" t="n">
        <x:f>MAX(0,MIN($G108,40)-MAX($F108,36)+1)*$D108/$E108</x:f>
        <x:v>0</x:v>
      </x:c>
      <x:c r="P108" s="39" t="n">
        <x:f>MAX(0,MIN($G108,45)-MAX($F108,41)+1)*$D108/$E108</x:f>
        <x:v>0</x:v>
      </x:c>
      <x:c r="Q108" s="39" t="n">
        <x:f>MAX(0,MIN($G108,50)-MAX($F108,46)+1)*$D108/$E108</x:f>
        <x:v>0</x:v>
      </x:c>
      <x:c r="R108" s="39" t="n">
        <x:f>MAX(0,MIN($G108,55)-MAX($F108,51)+1)*$D108/$E108</x:f>
        <x:v>0</x:v>
      </x:c>
      <x:c r="S108" s="39" t="n">
        <x:f>MAX(0,MIN($G108,60)-MAX($F108,56)+1)*$D108/$E108</x:f>
        <x:v>0</x:v>
      </x:c>
      <x:c r="T108" s="39" t="n">
        <x:f>MAX(0,MIN($G108,65)-MAX($F108,61)+1)*$D108/$E108</x:f>
        <x:v>0</x:v>
      </x:c>
      <x:c r="U108" s="39" t="n">
        <x:f>MAX(0,MIN($G108,70)-MAX($F108,66)+1)*$D108/$E108</x:f>
        <x:v>0</x:v>
      </x:c>
      <x:c r="V108" s="39" t="n">
        <x:f>MAX(0,MIN($G108,75)-MAX($F108,71)+1)*$D108/$E108</x:f>
        <x:v>0</x:v>
      </x:c>
      <x:c r="W108" s="39" t="n">
        <x:f>MAX(0,MIN($G108,80)-MAX($F108,76)+1)*$D108/$E108</x:f>
        <x:v>0</x:v>
      </x:c>
      <x:c r="X108" s="39" t="n">
        <x:f>MAX(0,MIN($G108,85)-MAX($F108,81)+1)*$D108/$E108</x:f>
        <x:v>0</x:v>
      </x:c>
      <x:c r="Y108" s="39" t="n">
        <x:f>MAX(0,MIN($G108,90)-MAX($F108,86)+1)*$D108/$E108</x:f>
        <x:v>0</x:v>
      </x:c>
      <x:c r="Z108" s="39" t="n">
        <x:f>MAX(0,MIN($G108,95)-MAX($F108,91)+1)*$D108/$E108</x:f>
        <x:v>0</x:v>
      </x:c>
      <x:c r="AA108" s="39" t="n">
        <x:f>MAX(0,MIN($G108,100)-MAX($F108,96)+1)*$D108/$E108</x:f>
        <x:v>0</x:v>
      </x:c>
      <x:c r="AB108" s="39" t="n">
        <x:f>MAX(0,MIN($G108,105)-MAX($F108,101)+1)*$D108/$E108</x:f>
        <x:v>0</x:v>
      </x:c>
      <x:c r="AC108" s="39" t="n">
        <x:f>MAX(0,MIN($G108,110)-MAX($F108,106)+1)*$D108/$E108</x:f>
        <x:v>6.666666666666667</x:v>
      </x:c>
      <x:c r="AD108" s="39" t="n">
        <x:f>MAX(0,MIN($G108,115)-MAX($F108,111)+1)*$D108/$E108</x:f>
        <x:v>13.333333333333334</x:v>
      </x:c>
      <x:c r="AE108" s="39" t="n">
        <x:f>MAX(0,MIN($G108,120)-MAX($F108,116)+1)*$D108/$E108</x:f>
        <x:v>0</x:v>
      </x:c>
      <x:c r="AF108" s="39" t="n">
        <x:f>MAX(0,MIN($G108,125)-MAX($F108,121)+1)*$D108/$E108</x:f>
        <x:v>0</x:v>
      </x:c>
      <x:c r="AG108" s="39" t="n">
        <x:f>MAX(0,MIN($G108,130)-MAX($F108,126)+1)*$D108/$E108</x:f>
        <x:v>0</x:v>
      </x:c>
      <x:c r="AH108" s="39" t="n">
        <x:f>MAX(0,MIN($G108,135)-MAX($F108,131)+1)*$D108/$E108</x:f>
        <x:v>0</x:v>
      </x:c>
      <x:c r="AI108" s="39" t="n">
        <x:f>MAX(0,MIN($G108,140)-MAX($F108,136)+1)*$D108/$E108</x:f>
        <x:v>0</x:v>
      </x:c>
      <x:c r="AJ108" s="39" t="n">
        <x:f>MAX(0,MIN($G108,145)-MAX($F108,141)+1)*$D108/$E108</x:f>
        <x:v>0</x:v>
      </x:c>
      <x:c r="AK108" s="39" t="n">
        <x:f>MAX(0,MIN($G108,150)-MAX($F108,146)+1)*$D108/$E108</x:f>
        <x:v>0</x:v>
      </x:c>
      <x:c r="AL108" s="39" t="n">
        <x:f>MAX(0,MIN($G108,155)-MAX($F108,151)+1)*$D108/$E108</x:f>
        <x:v>0</x:v>
      </x:c>
      <x:c r="AM108" s="39" t="n">
        <x:f>MAX(0,MIN($G108,160)-MAX($F108,156)+1)*$D108/$E108</x:f>
        <x:v>0</x:v>
      </x:c>
      <x:c r="AN108" s="39" t="n">
        <x:f>MAX(0,MIN($G108,165)-MAX($F108,161)+1)*$D108/$E108</x:f>
        <x:v>0</x:v>
      </x:c>
      <x:c r="AO108" s="39" t="n">
        <x:f>MAX(0,MIN($G108,170)-MAX($F108,166)+1)*$D108/$E108</x:f>
        <x:v>0</x:v>
      </x:c>
      <x:c r="AP108" s="39" t="n">
        <x:f>MAX(0,MIN($G108,175)-MAX($F108,171)+1)*$D108/$E108</x:f>
        <x:v>0</x:v>
      </x:c>
      <x:c r="AQ108" s="39" t="n">
        <x:f>MAX(0,MIN($G108,180)-MAX($F108,176)+1)*$D108/$E108</x:f>
        <x:v>0</x:v>
      </x:c>
    </x:row>
    <x:row r="109" ht="27" customHeight="1">
      <x:c r="A109" s="9" t="str">
        <x:v>F07</x:v>
      </x:c>
      <x:c r="B109" s="9" t="str">
        <x:f>'Tasks'!P57</x:f>
        <x:v>TD</x:v>
      </x:c>
      <x:c r="C109" s="9" t="str">
        <x:v>Review</x:v>
      </x:c>
      <x:c r="D109" s="40" t="n">
        <x:f>'Tasks'!Q57</x:f>
        <x:v>6</x:v>
      </x:c>
      <x:c r="E109" s="40" t="n">
        <x:f>'Tasks'!F57</x:f>
        <x:v>3</x:v>
      </x:c>
      <x:c r="F109" s="40" t="n">
        <x:f>'Tasks'!K57</x:f>
        <x:v>110</x:v>
      </x:c>
      <x:c r="G109" s="40" t="n">
        <x:f>'Tasks'!L57</x:f>
        <x:v>112</x:v>
      </x:c>
      <x:c r="H109" s="40" t="n">
        <x:f>MAX(0,MIN($G109,5)-MAX($F109,1)+1)*$D109/$E109</x:f>
        <x:v>0</x:v>
      </x:c>
      <x:c r="I109" s="40" t="n">
        <x:f>MAX(0,MIN($G109,10)-MAX($F109,6)+1)*$D109/$E109</x:f>
        <x:v>0</x:v>
      </x:c>
      <x:c r="J109" s="40" t="n">
        <x:f>MAX(0,MIN($G109,15)-MAX($F109,11)+1)*$D109/$E109</x:f>
        <x:v>0</x:v>
      </x:c>
      <x:c r="K109" s="40" t="n">
        <x:f>MAX(0,MIN($G109,20)-MAX($F109,16)+1)*$D109/$E109</x:f>
        <x:v>0</x:v>
      </x:c>
      <x:c r="L109" s="40" t="n">
        <x:f>MAX(0,MIN($G109,25)-MAX($F109,21)+1)*$D109/$E109</x:f>
        <x:v>0</x:v>
      </x:c>
      <x:c r="M109" s="40" t="n">
        <x:f>MAX(0,MIN($G109,30)-MAX($F109,26)+1)*$D109/$E109</x:f>
        <x:v>0</x:v>
      </x:c>
      <x:c r="N109" s="40" t="n">
        <x:f>MAX(0,MIN($G109,35)-MAX($F109,31)+1)*$D109/$E109</x:f>
        <x:v>0</x:v>
      </x:c>
      <x:c r="O109" s="40" t="n">
        <x:f>MAX(0,MIN($G109,40)-MAX($F109,36)+1)*$D109/$E109</x:f>
        <x:v>0</x:v>
      </x:c>
      <x:c r="P109" s="40" t="n">
        <x:f>MAX(0,MIN($G109,45)-MAX($F109,41)+1)*$D109/$E109</x:f>
        <x:v>0</x:v>
      </x:c>
      <x:c r="Q109" s="40" t="n">
        <x:f>MAX(0,MIN($G109,50)-MAX($F109,46)+1)*$D109/$E109</x:f>
        <x:v>0</x:v>
      </x:c>
      <x:c r="R109" s="40" t="n">
        <x:f>MAX(0,MIN($G109,55)-MAX($F109,51)+1)*$D109/$E109</x:f>
        <x:v>0</x:v>
      </x:c>
      <x:c r="S109" s="40" t="n">
        <x:f>MAX(0,MIN($G109,60)-MAX($F109,56)+1)*$D109/$E109</x:f>
        <x:v>0</x:v>
      </x:c>
      <x:c r="T109" s="40" t="n">
        <x:f>MAX(0,MIN($G109,65)-MAX($F109,61)+1)*$D109/$E109</x:f>
        <x:v>0</x:v>
      </x:c>
      <x:c r="U109" s="40" t="n">
        <x:f>MAX(0,MIN($G109,70)-MAX($F109,66)+1)*$D109/$E109</x:f>
        <x:v>0</x:v>
      </x:c>
      <x:c r="V109" s="40" t="n">
        <x:f>MAX(0,MIN($G109,75)-MAX($F109,71)+1)*$D109/$E109</x:f>
        <x:v>0</x:v>
      </x:c>
      <x:c r="W109" s="40" t="n">
        <x:f>MAX(0,MIN($G109,80)-MAX($F109,76)+1)*$D109/$E109</x:f>
        <x:v>0</x:v>
      </x:c>
      <x:c r="X109" s="40" t="n">
        <x:f>MAX(0,MIN($G109,85)-MAX($F109,81)+1)*$D109/$E109</x:f>
        <x:v>0</x:v>
      </x:c>
      <x:c r="Y109" s="40" t="n">
        <x:f>MAX(0,MIN($G109,90)-MAX($F109,86)+1)*$D109/$E109</x:f>
        <x:v>0</x:v>
      </x:c>
      <x:c r="Z109" s="40" t="n">
        <x:f>MAX(0,MIN($G109,95)-MAX($F109,91)+1)*$D109/$E109</x:f>
        <x:v>0</x:v>
      </x:c>
      <x:c r="AA109" s="40" t="n">
        <x:f>MAX(0,MIN($G109,100)-MAX($F109,96)+1)*$D109/$E109</x:f>
        <x:v>0</x:v>
      </x:c>
      <x:c r="AB109" s="40" t="n">
        <x:f>MAX(0,MIN($G109,105)-MAX($F109,101)+1)*$D109/$E109</x:f>
        <x:v>0</x:v>
      </x:c>
      <x:c r="AC109" s="40" t="n">
        <x:f>MAX(0,MIN($G109,110)-MAX($F109,106)+1)*$D109/$E109</x:f>
        <x:v>2</x:v>
      </x:c>
      <x:c r="AD109" s="40" t="n">
        <x:f>MAX(0,MIN($G109,115)-MAX($F109,111)+1)*$D109/$E109</x:f>
        <x:v>4</x:v>
      </x:c>
      <x:c r="AE109" s="40" t="n">
        <x:f>MAX(0,MIN($G109,120)-MAX($F109,116)+1)*$D109/$E109</x:f>
        <x:v>0</x:v>
      </x:c>
      <x:c r="AF109" s="40" t="n">
        <x:f>MAX(0,MIN($G109,125)-MAX($F109,121)+1)*$D109/$E109</x:f>
        <x:v>0</x:v>
      </x:c>
      <x:c r="AG109" s="40" t="n">
        <x:f>MAX(0,MIN($G109,130)-MAX($F109,126)+1)*$D109/$E109</x:f>
        <x:v>0</x:v>
      </x:c>
      <x:c r="AH109" s="40" t="n">
        <x:f>MAX(0,MIN($G109,135)-MAX($F109,131)+1)*$D109/$E109</x:f>
        <x:v>0</x:v>
      </x:c>
      <x:c r="AI109" s="40" t="n">
        <x:f>MAX(0,MIN($G109,140)-MAX($F109,136)+1)*$D109/$E109</x:f>
        <x:v>0</x:v>
      </x:c>
      <x:c r="AJ109" s="40" t="n">
        <x:f>MAX(0,MIN($G109,145)-MAX($F109,141)+1)*$D109/$E109</x:f>
        <x:v>0</x:v>
      </x:c>
      <x:c r="AK109" s="40" t="n">
        <x:f>MAX(0,MIN($G109,150)-MAX($F109,146)+1)*$D109/$E109</x:f>
        <x:v>0</x:v>
      </x:c>
      <x:c r="AL109" s="40" t="n">
        <x:f>MAX(0,MIN($G109,155)-MAX($F109,151)+1)*$D109/$E109</x:f>
        <x:v>0</x:v>
      </x:c>
      <x:c r="AM109" s="40" t="n">
        <x:f>MAX(0,MIN($G109,160)-MAX($F109,156)+1)*$D109/$E109</x:f>
        <x:v>0</x:v>
      </x:c>
      <x:c r="AN109" s="40" t="n">
        <x:f>MAX(0,MIN($G109,165)-MAX($F109,161)+1)*$D109/$E109</x:f>
        <x:v>0</x:v>
      </x:c>
      <x:c r="AO109" s="40" t="n">
        <x:f>MAX(0,MIN($G109,170)-MAX($F109,166)+1)*$D109/$E109</x:f>
        <x:v>0</x:v>
      </x:c>
      <x:c r="AP109" s="40" t="n">
        <x:f>MAX(0,MIN($G109,175)-MAX($F109,171)+1)*$D109/$E109</x:f>
        <x:v>0</x:v>
      </x:c>
      <x:c r="AQ109" s="40" t="n">
        <x:f>MAX(0,MIN($G109,180)-MAX($F109,176)+1)*$D109/$E109</x:f>
        <x:v>0</x:v>
      </x:c>
    </x:row>
    <x:row r="110" ht="27" customHeight="1">
      <x:c r="A110" s="10" t="str">
        <x:v>F08</x:v>
      </x:c>
      <x:c r="B110" s="10" t="str">
        <x:f>'Tasks'!D58</x:f>
        <x:v>AI</x:v>
      </x:c>
      <x:c r="C110" s="10" t="str">
        <x:v>Owner</x:v>
      </x:c>
      <x:c r="D110" s="39" t="n">
        <x:f>'Tasks'!O58</x:f>
        <x:v>8</x:v>
      </x:c>
      <x:c r="E110" s="39" t="n">
        <x:f>'Tasks'!F58</x:f>
        <x:v>1</x:v>
      </x:c>
      <x:c r="F110" s="39" t="n">
        <x:f>'Tasks'!K58</x:f>
        <x:v>113</x:v>
      </x:c>
      <x:c r="G110" s="39" t="n">
        <x:f>'Tasks'!L58</x:f>
        <x:v>113</x:v>
      </x:c>
      <x:c r="H110" s="39" t="n">
        <x:f>MAX(0,MIN($G110,5)-MAX($F110,1)+1)*$D110/$E110</x:f>
        <x:v>0</x:v>
      </x:c>
      <x:c r="I110" s="39" t="n">
        <x:f>MAX(0,MIN($G110,10)-MAX($F110,6)+1)*$D110/$E110</x:f>
        <x:v>0</x:v>
      </x:c>
      <x:c r="J110" s="39" t="n">
        <x:f>MAX(0,MIN($G110,15)-MAX($F110,11)+1)*$D110/$E110</x:f>
        <x:v>0</x:v>
      </x:c>
      <x:c r="K110" s="39" t="n">
        <x:f>MAX(0,MIN($G110,20)-MAX($F110,16)+1)*$D110/$E110</x:f>
        <x:v>0</x:v>
      </x:c>
      <x:c r="L110" s="39" t="n">
        <x:f>MAX(0,MIN($G110,25)-MAX($F110,21)+1)*$D110/$E110</x:f>
        <x:v>0</x:v>
      </x:c>
      <x:c r="M110" s="39" t="n">
        <x:f>MAX(0,MIN($G110,30)-MAX($F110,26)+1)*$D110/$E110</x:f>
        <x:v>0</x:v>
      </x:c>
      <x:c r="N110" s="39" t="n">
        <x:f>MAX(0,MIN($G110,35)-MAX($F110,31)+1)*$D110/$E110</x:f>
        <x:v>0</x:v>
      </x:c>
      <x:c r="O110" s="39" t="n">
        <x:f>MAX(0,MIN($G110,40)-MAX($F110,36)+1)*$D110/$E110</x:f>
        <x:v>0</x:v>
      </x:c>
      <x:c r="P110" s="39" t="n">
        <x:f>MAX(0,MIN($G110,45)-MAX($F110,41)+1)*$D110/$E110</x:f>
        <x:v>0</x:v>
      </x:c>
      <x:c r="Q110" s="39" t="n">
        <x:f>MAX(0,MIN($G110,50)-MAX($F110,46)+1)*$D110/$E110</x:f>
        <x:v>0</x:v>
      </x:c>
      <x:c r="R110" s="39" t="n">
        <x:f>MAX(0,MIN($G110,55)-MAX($F110,51)+1)*$D110/$E110</x:f>
        <x:v>0</x:v>
      </x:c>
      <x:c r="S110" s="39" t="n">
        <x:f>MAX(0,MIN($G110,60)-MAX($F110,56)+1)*$D110/$E110</x:f>
        <x:v>0</x:v>
      </x:c>
      <x:c r="T110" s="39" t="n">
        <x:f>MAX(0,MIN($G110,65)-MAX($F110,61)+1)*$D110/$E110</x:f>
        <x:v>0</x:v>
      </x:c>
      <x:c r="U110" s="39" t="n">
        <x:f>MAX(0,MIN($G110,70)-MAX($F110,66)+1)*$D110/$E110</x:f>
        <x:v>0</x:v>
      </x:c>
      <x:c r="V110" s="39" t="n">
        <x:f>MAX(0,MIN($G110,75)-MAX($F110,71)+1)*$D110/$E110</x:f>
        <x:v>0</x:v>
      </x:c>
      <x:c r="W110" s="39" t="n">
        <x:f>MAX(0,MIN($G110,80)-MAX($F110,76)+1)*$D110/$E110</x:f>
        <x:v>0</x:v>
      </x:c>
      <x:c r="X110" s="39" t="n">
        <x:f>MAX(0,MIN($G110,85)-MAX($F110,81)+1)*$D110/$E110</x:f>
        <x:v>0</x:v>
      </x:c>
      <x:c r="Y110" s="39" t="n">
        <x:f>MAX(0,MIN($G110,90)-MAX($F110,86)+1)*$D110/$E110</x:f>
        <x:v>0</x:v>
      </x:c>
      <x:c r="Z110" s="39" t="n">
        <x:f>MAX(0,MIN($G110,95)-MAX($F110,91)+1)*$D110/$E110</x:f>
        <x:v>0</x:v>
      </x:c>
      <x:c r="AA110" s="39" t="n">
        <x:f>MAX(0,MIN($G110,100)-MAX($F110,96)+1)*$D110/$E110</x:f>
        <x:v>0</x:v>
      </x:c>
      <x:c r="AB110" s="39" t="n">
        <x:f>MAX(0,MIN($G110,105)-MAX($F110,101)+1)*$D110/$E110</x:f>
        <x:v>0</x:v>
      </x:c>
      <x:c r="AC110" s="39" t="n">
        <x:f>MAX(0,MIN($G110,110)-MAX($F110,106)+1)*$D110/$E110</x:f>
        <x:v>0</x:v>
      </x:c>
      <x:c r="AD110" s="39" t="n">
        <x:f>MAX(0,MIN($G110,115)-MAX($F110,111)+1)*$D110/$E110</x:f>
        <x:v>8</x:v>
      </x:c>
      <x:c r="AE110" s="39" t="n">
        <x:f>MAX(0,MIN($G110,120)-MAX($F110,116)+1)*$D110/$E110</x:f>
        <x:v>0</x:v>
      </x:c>
      <x:c r="AF110" s="39" t="n">
        <x:f>MAX(0,MIN($G110,125)-MAX($F110,121)+1)*$D110/$E110</x:f>
        <x:v>0</x:v>
      </x:c>
      <x:c r="AG110" s="39" t="n">
        <x:f>MAX(0,MIN($G110,130)-MAX($F110,126)+1)*$D110/$E110</x:f>
        <x:v>0</x:v>
      </x:c>
      <x:c r="AH110" s="39" t="n">
        <x:f>MAX(0,MIN($G110,135)-MAX($F110,131)+1)*$D110/$E110</x:f>
        <x:v>0</x:v>
      </x:c>
      <x:c r="AI110" s="39" t="n">
        <x:f>MAX(0,MIN($G110,140)-MAX($F110,136)+1)*$D110/$E110</x:f>
        <x:v>0</x:v>
      </x:c>
      <x:c r="AJ110" s="39" t="n">
        <x:f>MAX(0,MIN($G110,145)-MAX($F110,141)+1)*$D110/$E110</x:f>
        <x:v>0</x:v>
      </x:c>
      <x:c r="AK110" s="39" t="n">
        <x:f>MAX(0,MIN($G110,150)-MAX($F110,146)+1)*$D110/$E110</x:f>
        <x:v>0</x:v>
      </x:c>
      <x:c r="AL110" s="39" t="n">
        <x:f>MAX(0,MIN($G110,155)-MAX($F110,151)+1)*$D110/$E110</x:f>
        <x:v>0</x:v>
      </x:c>
      <x:c r="AM110" s="39" t="n">
        <x:f>MAX(0,MIN($G110,160)-MAX($F110,156)+1)*$D110/$E110</x:f>
        <x:v>0</x:v>
      </x:c>
      <x:c r="AN110" s="39" t="n">
        <x:f>MAX(0,MIN($G110,165)-MAX($F110,161)+1)*$D110/$E110</x:f>
        <x:v>0</x:v>
      </x:c>
      <x:c r="AO110" s="39" t="n">
        <x:f>MAX(0,MIN($G110,170)-MAX($F110,166)+1)*$D110/$E110</x:f>
        <x:v>0</x:v>
      </x:c>
      <x:c r="AP110" s="39" t="n">
        <x:f>MAX(0,MIN($G110,175)-MAX($F110,171)+1)*$D110/$E110</x:f>
        <x:v>0</x:v>
      </x:c>
      <x:c r="AQ110" s="39" t="n">
        <x:f>MAX(0,MIN($G110,180)-MAX($F110,176)+1)*$D110/$E110</x:f>
        <x:v>0</x:v>
      </x:c>
    </x:row>
    <x:row r="111" ht="27" customHeight="1">
      <x:c r="A111" s="9" t="str">
        <x:v>F08</x:v>
      </x:c>
      <x:c r="B111" s="9" t="str">
        <x:f>'Tasks'!P58</x:f>
        <x:v>HP</x:v>
      </x:c>
      <x:c r="C111" s="9" t="str">
        <x:v>Review</x:v>
      </x:c>
      <x:c r="D111" s="40" t="n">
        <x:f>'Tasks'!Q58</x:f>
        <x:v>3</x:v>
      </x:c>
      <x:c r="E111" s="40" t="n">
        <x:f>'Tasks'!F58</x:f>
        <x:v>1</x:v>
      </x:c>
      <x:c r="F111" s="40" t="n">
        <x:f>'Tasks'!K58</x:f>
        <x:v>113</x:v>
      </x:c>
      <x:c r="G111" s="40" t="n">
        <x:f>'Tasks'!L58</x:f>
        <x:v>113</x:v>
      </x:c>
      <x:c r="H111" s="40" t="n">
        <x:f>MAX(0,MIN($G111,5)-MAX($F111,1)+1)*$D111/$E111</x:f>
        <x:v>0</x:v>
      </x:c>
      <x:c r="I111" s="40" t="n">
        <x:f>MAX(0,MIN($G111,10)-MAX($F111,6)+1)*$D111/$E111</x:f>
        <x:v>0</x:v>
      </x:c>
      <x:c r="J111" s="40" t="n">
        <x:f>MAX(0,MIN($G111,15)-MAX($F111,11)+1)*$D111/$E111</x:f>
        <x:v>0</x:v>
      </x:c>
      <x:c r="K111" s="40" t="n">
        <x:f>MAX(0,MIN($G111,20)-MAX($F111,16)+1)*$D111/$E111</x:f>
        <x:v>0</x:v>
      </x:c>
      <x:c r="L111" s="40" t="n">
        <x:f>MAX(0,MIN($G111,25)-MAX($F111,21)+1)*$D111/$E111</x:f>
        <x:v>0</x:v>
      </x:c>
      <x:c r="M111" s="40" t="n">
        <x:f>MAX(0,MIN($G111,30)-MAX($F111,26)+1)*$D111/$E111</x:f>
        <x:v>0</x:v>
      </x:c>
      <x:c r="N111" s="40" t="n">
        <x:f>MAX(0,MIN($G111,35)-MAX($F111,31)+1)*$D111/$E111</x:f>
        <x:v>0</x:v>
      </x:c>
      <x:c r="O111" s="40" t="n">
        <x:f>MAX(0,MIN($G111,40)-MAX($F111,36)+1)*$D111/$E111</x:f>
        <x:v>0</x:v>
      </x:c>
      <x:c r="P111" s="40" t="n">
        <x:f>MAX(0,MIN($G111,45)-MAX($F111,41)+1)*$D111/$E111</x:f>
        <x:v>0</x:v>
      </x:c>
      <x:c r="Q111" s="40" t="n">
        <x:f>MAX(0,MIN($G111,50)-MAX($F111,46)+1)*$D111/$E111</x:f>
        <x:v>0</x:v>
      </x:c>
      <x:c r="R111" s="40" t="n">
        <x:f>MAX(0,MIN($G111,55)-MAX($F111,51)+1)*$D111/$E111</x:f>
        <x:v>0</x:v>
      </x:c>
      <x:c r="S111" s="40" t="n">
        <x:f>MAX(0,MIN($G111,60)-MAX($F111,56)+1)*$D111/$E111</x:f>
        <x:v>0</x:v>
      </x:c>
      <x:c r="T111" s="40" t="n">
        <x:f>MAX(0,MIN($G111,65)-MAX($F111,61)+1)*$D111/$E111</x:f>
        <x:v>0</x:v>
      </x:c>
      <x:c r="U111" s="40" t="n">
        <x:f>MAX(0,MIN($G111,70)-MAX($F111,66)+1)*$D111/$E111</x:f>
        <x:v>0</x:v>
      </x:c>
      <x:c r="V111" s="40" t="n">
        <x:f>MAX(0,MIN($G111,75)-MAX($F111,71)+1)*$D111/$E111</x:f>
        <x:v>0</x:v>
      </x:c>
      <x:c r="W111" s="40" t="n">
        <x:f>MAX(0,MIN($G111,80)-MAX($F111,76)+1)*$D111/$E111</x:f>
        <x:v>0</x:v>
      </x:c>
      <x:c r="X111" s="40" t="n">
        <x:f>MAX(0,MIN($G111,85)-MAX($F111,81)+1)*$D111/$E111</x:f>
        <x:v>0</x:v>
      </x:c>
      <x:c r="Y111" s="40" t="n">
        <x:f>MAX(0,MIN($G111,90)-MAX($F111,86)+1)*$D111/$E111</x:f>
        <x:v>0</x:v>
      </x:c>
      <x:c r="Z111" s="40" t="n">
        <x:f>MAX(0,MIN($G111,95)-MAX($F111,91)+1)*$D111/$E111</x:f>
        <x:v>0</x:v>
      </x:c>
      <x:c r="AA111" s="40" t="n">
        <x:f>MAX(0,MIN($G111,100)-MAX($F111,96)+1)*$D111/$E111</x:f>
        <x:v>0</x:v>
      </x:c>
      <x:c r="AB111" s="40" t="n">
        <x:f>MAX(0,MIN($G111,105)-MAX($F111,101)+1)*$D111/$E111</x:f>
        <x:v>0</x:v>
      </x:c>
      <x:c r="AC111" s="40" t="n">
        <x:f>MAX(0,MIN($G111,110)-MAX($F111,106)+1)*$D111/$E111</x:f>
        <x:v>0</x:v>
      </x:c>
      <x:c r="AD111" s="40" t="n">
        <x:f>MAX(0,MIN($G111,115)-MAX($F111,111)+1)*$D111/$E111</x:f>
        <x:v>3</x:v>
      </x:c>
      <x:c r="AE111" s="40" t="n">
        <x:f>MAX(0,MIN($G111,120)-MAX($F111,116)+1)*$D111/$E111</x:f>
        <x:v>0</x:v>
      </x:c>
      <x:c r="AF111" s="40" t="n">
        <x:f>MAX(0,MIN($G111,125)-MAX($F111,121)+1)*$D111/$E111</x:f>
        <x:v>0</x:v>
      </x:c>
      <x:c r="AG111" s="40" t="n">
        <x:f>MAX(0,MIN($G111,130)-MAX($F111,126)+1)*$D111/$E111</x:f>
        <x:v>0</x:v>
      </x:c>
      <x:c r="AH111" s="40" t="n">
        <x:f>MAX(0,MIN($G111,135)-MAX($F111,131)+1)*$D111/$E111</x:f>
        <x:v>0</x:v>
      </x:c>
      <x:c r="AI111" s="40" t="n">
        <x:f>MAX(0,MIN($G111,140)-MAX($F111,136)+1)*$D111/$E111</x:f>
        <x:v>0</x:v>
      </x:c>
      <x:c r="AJ111" s="40" t="n">
        <x:f>MAX(0,MIN($G111,145)-MAX($F111,141)+1)*$D111/$E111</x:f>
        <x:v>0</x:v>
      </x:c>
      <x:c r="AK111" s="40" t="n">
        <x:f>MAX(0,MIN($G111,150)-MAX($F111,146)+1)*$D111/$E111</x:f>
        <x:v>0</x:v>
      </x:c>
      <x:c r="AL111" s="40" t="n">
        <x:f>MAX(0,MIN($G111,155)-MAX($F111,151)+1)*$D111/$E111</x:f>
        <x:v>0</x:v>
      </x:c>
      <x:c r="AM111" s="40" t="n">
        <x:f>MAX(0,MIN($G111,160)-MAX($F111,156)+1)*$D111/$E111</x:f>
        <x:v>0</x:v>
      </x:c>
      <x:c r="AN111" s="40" t="n">
        <x:f>MAX(0,MIN($G111,165)-MAX($F111,161)+1)*$D111/$E111</x:f>
        <x:v>0</x:v>
      </x:c>
      <x:c r="AO111" s="40" t="n">
        <x:f>MAX(0,MIN($G111,170)-MAX($F111,166)+1)*$D111/$E111</x:f>
        <x:v>0</x:v>
      </x:c>
      <x:c r="AP111" s="40" t="n">
        <x:f>MAX(0,MIN($G111,175)-MAX($F111,171)+1)*$D111/$E111</x:f>
        <x:v>0</x:v>
      </x:c>
      <x:c r="AQ111" s="40" t="n">
        <x:f>MAX(0,MIN($G111,180)-MAX($F111,176)+1)*$D111/$E111</x:f>
        <x:v>0</x:v>
      </x:c>
    </x:row>
    <x:row r="112" ht="27" customHeight="1">
      <x:c r="A112" s="10" t="str">
        <x:v>G3</x:v>
      </x:c>
      <x:c r="B112" s="10" t="str">
        <x:f>'Tasks'!D59</x:f>
        <x:v>HP</x:v>
      </x:c>
      <x:c r="C112" s="10" t="str">
        <x:v>Owner</x:v>
      </x:c>
      <x:c r="D112" s="39" t="n">
        <x:f>'Tasks'!O59</x:f>
        <x:v>4</x:v>
      </x:c>
      <x:c r="E112" s="39" t="n">
        <x:f>'Tasks'!F59</x:f>
        <x:v>1</x:v>
      </x:c>
      <x:c r="F112" s="39" t="n">
        <x:f>'Tasks'!K59</x:f>
        <x:v>114</x:v>
      </x:c>
      <x:c r="G112" s="39" t="n">
        <x:f>'Tasks'!L59</x:f>
        <x:v>114</x:v>
      </x:c>
      <x:c r="H112" s="39" t="n">
        <x:f>MAX(0,MIN($G112,5)-MAX($F112,1)+1)*$D112/$E112</x:f>
        <x:v>0</x:v>
      </x:c>
      <x:c r="I112" s="39" t="n">
        <x:f>MAX(0,MIN($G112,10)-MAX($F112,6)+1)*$D112/$E112</x:f>
        <x:v>0</x:v>
      </x:c>
      <x:c r="J112" s="39" t="n">
        <x:f>MAX(0,MIN($G112,15)-MAX($F112,11)+1)*$D112/$E112</x:f>
        <x:v>0</x:v>
      </x:c>
      <x:c r="K112" s="39" t="n">
        <x:f>MAX(0,MIN($G112,20)-MAX($F112,16)+1)*$D112/$E112</x:f>
        <x:v>0</x:v>
      </x:c>
      <x:c r="L112" s="39" t="n">
        <x:f>MAX(0,MIN($G112,25)-MAX($F112,21)+1)*$D112/$E112</x:f>
        <x:v>0</x:v>
      </x:c>
      <x:c r="M112" s="39" t="n">
        <x:f>MAX(0,MIN($G112,30)-MAX($F112,26)+1)*$D112/$E112</x:f>
        <x:v>0</x:v>
      </x:c>
      <x:c r="N112" s="39" t="n">
        <x:f>MAX(0,MIN($G112,35)-MAX($F112,31)+1)*$D112/$E112</x:f>
        <x:v>0</x:v>
      </x:c>
      <x:c r="O112" s="39" t="n">
        <x:f>MAX(0,MIN($G112,40)-MAX($F112,36)+1)*$D112/$E112</x:f>
        <x:v>0</x:v>
      </x:c>
      <x:c r="P112" s="39" t="n">
        <x:f>MAX(0,MIN($G112,45)-MAX($F112,41)+1)*$D112/$E112</x:f>
        <x:v>0</x:v>
      </x:c>
      <x:c r="Q112" s="39" t="n">
        <x:f>MAX(0,MIN($G112,50)-MAX($F112,46)+1)*$D112/$E112</x:f>
        <x:v>0</x:v>
      </x:c>
      <x:c r="R112" s="39" t="n">
        <x:f>MAX(0,MIN($G112,55)-MAX($F112,51)+1)*$D112/$E112</x:f>
        <x:v>0</x:v>
      </x:c>
      <x:c r="S112" s="39" t="n">
        <x:f>MAX(0,MIN($G112,60)-MAX($F112,56)+1)*$D112/$E112</x:f>
        <x:v>0</x:v>
      </x:c>
      <x:c r="T112" s="39" t="n">
        <x:f>MAX(0,MIN($G112,65)-MAX($F112,61)+1)*$D112/$E112</x:f>
        <x:v>0</x:v>
      </x:c>
      <x:c r="U112" s="39" t="n">
        <x:f>MAX(0,MIN($G112,70)-MAX($F112,66)+1)*$D112/$E112</x:f>
        <x:v>0</x:v>
      </x:c>
      <x:c r="V112" s="39" t="n">
        <x:f>MAX(0,MIN($G112,75)-MAX($F112,71)+1)*$D112/$E112</x:f>
        <x:v>0</x:v>
      </x:c>
      <x:c r="W112" s="39" t="n">
        <x:f>MAX(0,MIN($G112,80)-MAX($F112,76)+1)*$D112/$E112</x:f>
        <x:v>0</x:v>
      </x:c>
      <x:c r="X112" s="39" t="n">
        <x:f>MAX(0,MIN($G112,85)-MAX($F112,81)+1)*$D112/$E112</x:f>
        <x:v>0</x:v>
      </x:c>
      <x:c r="Y112" s="39" t="n">
        <x:f>MAX(0,MIN($G112,90)-MAX($F112,86)+1)*$D112/$E112</x:f>
        <x:v>0</x:v>
      </x:c>
      <x:c r="Z112" s="39" t="n">
        <x:f>MAX(0,MIN($G112,95)-MAX($F112,91)+1)*$D112/$E112</x:f>
        <x:v>0</x:v>
      </x:c>
      <x:c r="AA112" s="39" t="n">
        <x:f>MAX(0,MIN($G112,100)-MAX($F112,96)+1)*$D112/$E112</x:f>
        <x:v>0</x:v>
      </x:c>
      <x:c r="AB112" s="39" t="n">
        <x:f>MAX(0,MIN($G112,105)-MAX($F112,101)+1)*$D112/$E112</x:f>
        <x:v>0</x:v>
      </x:c>
      <x:c r="AC112" s="39" t="n">
        <x:f>MAX(0,MIN($G112,110)-MAX($F112,106)+1)*$D112/$E112</x:f>
        <x:v>0</x:v>
      </x:c>
      <x:c r="AD112" s="39" t="n">
        <x:f>MAX(0,MIN($G112,115)-MAX($F112,111)+1)*$D112/$E112</x:f>
        <x:v>4</x:v>
      </x:c>
      <x:c r="AE112" s="39" t="n">
        <x:f>MAX(0,MIN($G112,120)-MAX($F112,116)+1)*$D112/$E112</x:f>
        <x:v>0</x:v>
      </x:c>
      <x:c r="AF112" s="39" t="n">
        <x:f>MAX(0,MIN($G112,125)-MAX($F112,121)+1)*$D112/$E112</x:f>
        <x:v>0</x:v>
      </x:c>
      <x:c r="AG112" s="39" t="n">
        <x:f>MAX(0,MIN($G112,130)-MAX($F112,126)+1)*$D112/$E112</x:f>
        <x:v>0</x:v>
      </x:c>
      <x:c r="AH112" s="39" t="n">
        <x:f>MAX(0,MIN($G112,135)-MAX($F112,131)+1)*$D112/$E112</x:f>
        <x:v>0</x:v>
      </x:c>
      <x:c r="AI112" s="39" t="n">
        <x:f>MAX(0,MIN($G112,140)-MAX($F112,136)+1)*$D112/$E112</x:f>
        <x:v>0</x:v>
      </x:c>
      <x:c r="AJ112" s="39" t="n">
        <x:f>MAX(0,MIN($G112,145)-MAX($F112,141)+1)*$D112/$E112</x:f>
        <x:v>0</x:v>
      </x:c>
      <x:c r="AK112" s="39" t="n">
        <x:f>MAX(0,MIN($G112,150)-MAX($F112,146)+1)*$D112/$E112</x:f>
        <x:v>0</x:v>
      </x:c>
      <x:c r="AL112" s="39" t="n">
        <x:f>MAX(0,MIN($G112,155)-MAX($F112,151)+1)*$D112/$E112</x:f>
        <x:v>0</x:v>
      </x:c>
      <x:c r="AM112" s="39" t="n">
        <x:f>MAX(0,MIN($G112,160)-MAX($F112,156)+1)*$D112/$E112</x:f>
        <x:v>0</x:v>
      </x:c>
      <x:c r="AN112" s="39" t="n">
        <x:f>MAX(0,MIN($G112,165)-MAX($F112,161)+1)*$D112/$E112</x:f>
        <x:v>0</x:v>
      </x:c>
      <x:c r="AO112" s="39" t="n">
        <x:f>MAX(0,MIN($G112,170)-MAX($F112,166)+1)*$D112/$E112</x:f>
        <x:v>0</x:v>
      </x:c>
      <x:c r="AP112" s="39" t="n">
        <x:f>MAX(0,MIN($G112,175)-MAX($F112,171)+1)*$D112/$E112</x:f>
        <x:v>0</x:v>
      </x:c>
      <x:c r="AQ112" s="39" t="n">
        <x:f>MAX(0,MIN($G112,180)-MAX($F112,176)+1)*$D112/$E112</x:f>
        <x:v>0</x:v>
      </x:c>
    </x:row>
    <x:row r="113" ht="27" customHeight="1">
      <x:c r="A113" s="9" t="str">
        <x:v>G3</x:v>
      </x:c>
      <x:c r="B113" s="9" t="str">
        <x:f>'Tasks'!P59</x:f>
        <x:v>TD</x:v>
      </x:c>
      <x:c r="C113" s="9" t="str">
        <x:v>Review</x:v>
      </x:c>
      <x:c r="D113" s="40" t="n">
        <x:f>'Tasks'!Q59</x:f>
        <x:v>3</x:v>
      </x:c>
      <x:c r="E113" s="40" t="n">
        <x:f>'Tasks'!F59</x:f>
        <x:v>1</x:v>
      </x:c>
      <x:c r="F113" s="40" t="n">
        <x:f>'Tasks'!K59</x:f>
        <x:v>114</x:v>
      </x:c>
      <x:c r="G113" s="40" t="n">
        <x:f>'Tasks'!L59</x:f>
        <x:v>114</x:v>
      </x:c>
      <x:c r="H113" s="40" t="n">
        <x:f>MAX(0,MIN($G113,5)-MAX($F113,1)+1)*$D113/$E113</x:f>
        <x:v>0</x:v>
      </x:c>
      <x:c r="I113" s="40" t="n">
        <x:f>MAX(0,MIN($G113,10)-MAX($F113,6)+1)*$D113/$E113</x:f>
        <x:v>0</x:v>
      </x:c>
      <x:c r="J113" s="40" t="n">
        <x:f>MAX(0,MIN($G113,15)-MAX($F113,11)+1)*$D113/$E113</x:f>
        <x:v>0</x:v>
      </x:c>
      <x:c r="K113" s="40" t="n">
        <x:f>MAX(0,MIN($G113,20)-MAX($F113,16)+1)*$D113/$E113</x:f>
        <x:v>0</x:v>
      </x:c>
      <x:c r="L113" s="40" t="n">
        <x:f>MAX(0,MIN($G113,25)-MAX($F113,21)+1)*$D113/$E113</x:f>
        <x:v>0</x:v>
      </x:c>
      <x:c r="M113" s="40" t="n">
        <x:f>MAX(0,MIN($G113,30)-MAX($F113,26)+1)*$D113/$E113</x:f>
        <x:v>0</x:v>
      </x:c>
      <x:c r="N113" s="40" t="n">
        <x:f>MAX(0,MIN($G113,35)-MAX($F113,31)+1)*$D113/$E113</x:f>
        <x:v>0</x:v>
      </x:c>
      <x:c r="O113" s="40" t="n">
        <x:f>MAX(0,MIN($G113,40)-MAX($F113,36)+1)*$D113/$E113</x:f>
        <x:v>0</x:v>
      </x:c>
      <x:c r="P113" s="40" t="n">
        <x:f>MAX(0,MIN($G113,45)-MAX($F113,41)+1)*$D113/$E113</x:f>
        <x:v>0</x:v>
      </x:c>
      <x:c r="Q113" s="40" t="n">
        <x:f>MAX(0,MIN($G113,50)-MAX($F113,46)+1)*$D113/$E113</x:f>
        <x:v>0</x:v>
      </x:c>
      <x:c r="R113" s="40" t="n">
        <x:f>MAX(0,MIN($G113,55)-MAX($F113,51)+1)*$D113/$E113</x:f>
        <x:v>0</x:v>
      </x:c>
      <x:c r="S113" s="40" t="n">
        <x:f>MAX(0,MIN($G113,60)-MAX($F113,56)+1)*$D113/$E113</x:f>
        <x:v>0</x:v>
      </x:c>
      <x:c r="T113" s="40" t="n">
        <x:f>MAX(0,MIN($G113,65)-MAX($F113,61)+1)*$D113/$E113</x:f>
        <x:v>0</x:v>
      </x:c>
      <x:c r="U113" s="40" t="n">
        <x:f>MAX(0,MIN($G113,70)-MAX($F113,66)+1)*$D113/$E113</x:f>
        <x:v>0</x:v>
      </x:c>
      <x:c r="V113" s="40" t="n">
        <x:f>MAX(0,MIN($G113,75)-MAX($F113,71)+1)*$D113/$E113</x:f>
        <x:v>0</x:v>
      </x:c>
      <x:c r="W113" s="40" t="n">
        <x:f>MAX(0,MIN($G113,80)-MAX($F113,76)+1)*$D113/$E113</x:f>
        <x:v>0</x:v>
      </x:c>
      <x:c r="X113" s="40" t="n">
        <x:f>MAX(0,MIN($G113,85)-MAX($F113,81)+1)*$D113/$E113</x:f>
        <x:v>0</x:v>
      </x:c>
      <x:c r="Y113" s="40" t="n">
        <x:f>MAX(0,MIN($G113,90)-MAX($F113,86)+1)*$D113/$E113</x:f>
        <x:v>0</x:v>
      </x:c>
      <x:c r="Z113" s="40" t="n">
        <x:f>MAX(0,MIN($G113,95)-MAX($F113,91)+1)*$D113/$E113</x:f>
        <x:v>0</x:v>
      </x:c>
      <x:c r="AA113" s="40" t="n">
        <x:f>MAX(0,MIN($G113,100)-MAX($F113,96)+1)*$D113/$E113</x:f>
        <x:v>0</x:v>
      </x:c>
      <x:c r="AB113" s="40" t="n">
        <x:f>MAX(0,MIN($G113,105)-MAX($F113,101)+1)*$D113/$E113</x:f>
        <x:v>0</x:v>
      </x:c>
      <x:c r="AC113" s="40" t="n">
        <x:f>MAX(0,MIN($G113,110)-MAX($F113,106)+1)*$D113/$E113</x:f>
        <x:v>0</x:v>
      </x:c>
      <x:c r="AD113" s="40" t="n">
        <x:f>MAX(0,MIN($G113,115)-MAX($F113,111)+1)*$D113/$E113</x:f>
        <x:v>3</x:v>
      </x:c>
      <x:c r="AE113" s="40" t="n">
        <x:f>MAX(0,MIN($G113,120)-MAX($F113,116)+1)*$D113/$E113</x:f>
        <x:v>0</x:v>
      </x:c>
      <x:c r="AF113" s="40" t="n">
        <x:f>MAX(0,MIN($G113,125)-MAX($F113,121)+1)*$D113/$E113</x:f>
        <x:v>0</x:v>
      </x:c>
      <x:c r="AG113" s="40" t="n">
        <x:f>MAX(0,MIN($G113,130)-MAX($F113,126)+1)*$D113/$E113</x:f>
        <x:v>0</x:v>
      </x:c>
      <x:c r="AH113" s="40" t="n">
        <x:f>MAX(0,MIN($G113,135)-MAX($F113,131)+1)*$D113/$E113</x:f>
        <x:v>0</x:v>
      </x:c>
      <x:c r="AI113" s="40" t="n">
        <x:f>MAX(0,MIN($G113,140)-MAX($F113,136)+1)*$D113/$E113</x:f>
        <x:v>0</x:v>
      </x:c>
      <x:c r="AJ113" s="40" t="n">
        <x:f>MAX(0,MIN($G113,145)-MAX($F113,141)+1)*$D113/$E113</x:f>
        <x:v>0</x:v>
      </x:c>
      <x:c r="AK113" s="40" t="n">
        <x:f>MAX(0,MIN($G113,150)-MAX($F113,146)+1)*$D113/$E113</x:f>
        <x:v>0</x:v>
      </x:c>
      <x:c r="AL113" s="40" t="n">
        <x:f>MAX(0,MIN($G113,155)-MAX($F113,151)+1)*$D113/$E113</x:f>
        <x:v>0</x:v>
      </x:c>
      <x:c r="AM113" s="40" t="n">
        <x:f>MAX(0,MIN($G113,160)-MAX($F113,156)+1)*$D113/$E113</x:f>
        <x:v>0</x:v>
      </x:c>
      <x:c r="AN113" s="40" t="n">
        <x:f>MAX(0,MIN($G113,165)-MAX($F113,161)+1)*$D113/$E113</x:f>
        <x:v>0</x:v>
      </x:c>
      <x:c r="AO113" s="40" t="n">
        <x:f>MAX(0,MIN($G113,170)-MAX($F113,166)+1)*$D113/$E113</x:f>
        <x:v>0</x:v>
      </x:c>
      <x:c r="AP113" s="40" t="n">
        <x:f>MAX(0,MIN($G113,175)-MAX($F113,171)+1)*$D113/$E113</x:f>
        <x:v>0</x:v>
      </x:c>
      <x:c r="AQ113" s="40" t="n">
        <x:f>MAX(0,MIN($G113,180)-MAX($F113,176)+1)*$D113/$E113</x:f>
        <x:v>0</x:v>
      </x:c>
    </x:row>
    <x:row r="114" ht="27" customHeight="1">
      <x:c r="A114" s="10" t="str">
        <x:v>H01</x:v>
      </x:c>
      <x:c r="B114" s="10" t="str">
        <x:f>'Tasks'!D60</x:f>
        <x:v>OPS</x:v>
      </x:c>
      <x:c r="C114" s="10" t="str">
        <x:v>Owner</x:v>
      </x:c>
      <x:c r="D114" s="39" t="n">
        <x:f>'Tasks'!O60</x:f>
        <x:v>50</x:v>
      </x:c>
      <x:c r="E114" s="39" t="n">
        <x:f>'Tasks'!F60</x:f>
        <x:v>10</x:v>
      </x:c>
      <x:c r="F114" s="39" t="n">
        <x:f>'Tasks'!K60</x:f>
        <x:v>61</x:v>
      </x:c>
      <x:c r="G114" s="39" t="n">
        <x:f>'Tasks'!L60</x:f>
        <x:v>70</x:v>
      </x:c>
      <x:c r="H114" s="39" t="n">
        <x:f>MAX(0,MIN($G114,5)-MAX($F114,1)+1)*$D114/$E114</x:f>
        <x:v>0</x:v>
      </x:c>
      <x:c r="I114" s="39" t="n">
        <x:f>MAX(0,MIN($G114,10)-MAX($F114,6)+1)*$D114/$E114</x:f>
        <x:v>0</x:v>
      </x:c>
      <x:c r="J114" s="39" t="n">
        <x:f>MAX(0,MIN($G114,15)-MAX($F114,11)+1)*$D114/$E114</x:f>
        <x:v>0</x:v>
      </x:c>
      <x:c r="K114" s="39" t="n">
        <x:f>MAX(0,MIN($G114,20)-MAX($F114,16)+1)*$D114/$E114</x:f>
        <x:v>0</x:v>
      </x:c>
      <x:c r="L114" s="39" t="n">
        <x:f>MAX(0,MIN($G114,25)-MAX($F114,21)+1)*$D114/$E114</x:f>
        <x:v>0</x:v>
      </x:c>
      <x:c r="M114" s="39" t="n">
        <x:f>MAX(0,MIN($G114,30)-MAX($F114,26)+1)*$D114/$E114</x:f>
        <x:v>0</x:v>
      </x:c>
      <x:c r="N114" s="39" t="n">
        <x:f>MAX(0,MIN($G114,35)-MAX($F114,31)+1)*$D114/$E114</x:f>
        <x:v>0</x:v>
      </x:c>
      <x:c r="O114" s="39" t="n">
        <x:f>MAX(0,MIN($G114,40)-MAX($F114,36)+1)*$D114/$E114</x:f>
        <x:v>0</x:v>
      </x:c>
      <x:c r="P114" s="39" t="n">
        <x:f>MAX(0,MIN($G114,45)-MAX($F114,41)+1)*$D114/$E114</x:f>
        <x:v>0</x:v>
      </x:c>
      <x:c r="Q114" s="39" t="n">
        <x:f>MAX(0,MIN($G114,50)-MAX($F114,46)+1)*$D114/$E114</x:f>
        <x:v>0</x:v>
      </x:c>
      <x:c r="R114" s="39" t="n">
        <x:f>MAX(0,MIN($G114,55)-MAX($F114,51)+1)*$D114/$E114</x:f>
        <x:v>0</x:v>
      </x:c>
      <x:c r="S114" s="39" t="n">
        <x:f>MAX(0,MIN($G114,60)-MAX($F114,56)+1)*$D114/$E114</x:f>
        <x:v>0</x:v>
      </x:c>
      <x:c r="T114" s="39" t="n">
        <x:f>MAX(0,MIN($G114,65)-MAX($F114,61)+1)*$D114/$E114</x:f>
        <x:v>25</x:v>
      </x:c>
      <x:c r="U114" s="39" t="n">
        <x:f>MAX(0,MIN($G114,70)-MAX($F114,66)+1)*$D114/$E114</x:f>
        <x:v>25</x:v>
      </x:c>
      <x:c r="V114" s="39" t="n">
        <x:f>MAX(0,MIN($G114,75)-MAX($F114,71)+1)*$D114/$E114</x:f>
        <x:v>0</x:v>
      </x:c>
      <x:c r="W114" s="39" t="n">
        <x:f>MAX(0,MIN($G114,80)-MAX($F114,76)+1)*$D114/$E114</x:f>
        <x:v>0</x:v>
      </x:c>
      <x:c r="X114" s="39" t="n">
        <x:f>MAX(0,MIN($G114,85)-MAX($F114,81)+1)*$D114/$E114</x:f>
        <x:v>0</x:v>
      </x:c>
      <x:c r="Y114" s="39" t="n">
        <x:f>MAX(0,MIN($G114,90)-MAX($F114,86)+1)*$D114/$E114</x:f>
        <x:v>0</x:v>
      </x:c>
      <x:c r="Z114" s="39" t="n">
        <x:f>MAX(0,MIN($G114,95)-MAX($F114,91)+1)*$D114/$E114</x:f>
        <x:v>0</x:v>
      </x:c>
      <x:c r="AA114" s="39" t="n">
        <x:f>MAX(0,MIN($G114,100)-MAX($F114,96)+1)*$D114/$E114</x:f>
        <x:v>0</x:v>
      </x:c>
      <x:c r="AB114" s="39" t="n">
        <x:f>MAX(0,MIN($G114,105)-MAX($F114,101)+1)*$D114/$E114</x:f>
        <x:v>0</x:v>
      </x:c>
      <x:c r="AC114" s="39" t="n">
        <x:f>MAX(0,MIN($G114,110)-MAX($F114,106)+1)*$D114/$E114</x:f>
        <x:v>0</x:v>
      </x:c>
      <x:c r="AD114" s="39" t="n">
        <x:f>MAX(0,MIN($G114,115)-MAX($F114,111)+1)*$D114/$E114</x:f>
        <x:v>0</x:v>
      </x:c>
      <x:c r="AE114" s="39" t="n">
        <x:f>MAX(0,MIN($G114,120)-MAX($F114,116)+1)*$D114/$E114</x:f>
        <x:v>0</x:v>
      </x:c>
      <x:c r="AF114" s="39" t="n">
        <x:f>MAX(0,MIN($G114,125)-MAX($F114,121)+1)*$D114/$E114</x:f>
        <x:v>0</x:v>
      </x:c>
      <x:c r="AG114" s="39" t="n">
        <x:f>MAX(0,MIN($G114,130)-MAX($F114,126)+1)*$D114/$E114</x:f>
        <x:v>0</x:v>
      </x:c>
      <x:c r="AH114" s="39" t="n">
        <x:f>MAX(0,MIN($G114,135)-MAX($F114,131)+1)*$D114/$E114</x:f>
        <x:v>0</x:v>
      </x:c>
      <x:c r="AI114" s="39" t="n">
        <x:f>MAX(0,MIN($G114,140)-MAX($F114,136)+1)*$D114/$E114</x:f>
        <x:v>0</x:v>
      </x:c>
      <x:c r="AJ114" s="39" t="n">
        <x:f>MAX(0,MIN($G114,145)-MAX($F114,141)+1)*$D114/$E114</x:f>
        <x:v>0</x:v>
      </x:c>
      <x:c r="AK114" s="39" t="n">
        <x:f>MAX(0,MIN($G114,150)-MAX($F114,146)+1)*$D114/$E114</x:f>
        <x:v>0</x:v>
      </x:c>
      <x:c r="AL114" s="39" t="n">
        <x:f>MAX(0,MIN($G114,155)-MAX($F114,151)+1)*$D114/$E114</x:f>
        <x:v>0</x:v>
      </x:c>
      <x:c r="AM114" s="39" t="n">
        <x:f>MAX(0,MIN($G114,160)-MAX($F114,156)+1)*$D114/$E114</x:f>
        <x:v>0</x:v>
      </x:c>
      <x:c r="AN114" s="39" t="n">
        <x:f>MAX(0,MIN($G114,165)-MAX($F114,161)+1)*$D114/$E114</x:f>
        <x:v>0</x:v>
      </x:c>
      <x:c r="AO114" s="39" t="n">
        <x:f>MAX(0,MIN($G114,170)-MAX($F114,166)+1)*$D114/$E114</x:f>
        <x:v>0</x:v>
      </x:c>
      <x:c r="AP114" s="39" t="n">
        <x:f>MAX(0,MIN($G114,175)-MAX($F114,171)+1)*$D114/$E114</x:f>
        <x:v>0</x:v>
      </x:c>
      <x:c r="AQ114" s="39" t="n">
        <x:f>MAX(0,MIN($G114,180)-MAX($F114,176)+1)*$D114/$E114</x:f>
        <x:v>0</x:v>
      </x:c>
    </x:row>
    <x:row r="115" ht="27" customHeight="1">
      <x:c r="A115" s="9" t="str">
        <x:v>H01</x:v>
      </x:c>
      <x:c r="B115" s="9" t="str">
        <x:f>'Tasks'!P60</x:f>
        <x:v>PAE</x:v>
      </x:c>
      <x:c r="C115" s="9" t="str">
        <x:v>Review</x:v>
      </x:c>
      <x:c r="D115" s="40" t="n">
        <x:f>'Tasks'!Q60</x:f>
        <x:v>8</x:v>
      </x:c>
      <x:c r="E115" s="40" t="n">
        <x:f>'Tasks'!F60</x:f>
        <x:v>10</x:v>
      </x:c>
      <x:c r="F115" s="40" t="n">
        <x:f>'Tasks'!K60</x:f>
        <x:v>61</x:v>
      </x:c>
      <x:c r="G115" s="40" t="n">
        <x:f>'Tasks'!L60</x:f>
        <x:v>70</x:v>
      </x:c>
      <x:c r="H115" s="40" t="n">
        <x:f>MAX(0,MIN($G115,5)-MAX($F115,1)+1)*$D115/$E115</x:f>
        <x:v>0</x:v>
      </x:c>
      <x:c r="I115" s="40" t="n">
        <x:f>MAX(0,MIN($G115,10)-MAX($F115,6)+1)*$D115/$E115</x:f>
        <x:v>0</x:v>
      </x:c>
      <x:c r="J115" s="40" t="n">
        <x:f>MAX(0,MIN($G115,15)-MAX($F115,11)+1)*$D115/$E115</x:f>
        <x:v>0</x:v>
      </x:c>
      <x:c r="K115" s="40" t="n">
        <x:f>MAX(0,MIN($G115,20)-MAX($F115,16)+1)*$D115/$E115</x:f>
        <x:v>0</x:v>
      </x:c>
      <x:c r="L115" s="40" t="n">
        <x:f>MAX(0,MIN($G115,25)-MAX($F115,21)+1)*$D115/$E115</x:f>
        <x:v>0</x:v>
      </x:c>
      <x:c r="M115" s="40" t="n">
        <x:f>MAX(0,MIN($G115,30)-MAX($F115,26)+1)*$D115/$E115</x:f>
        <x:v>0</x:v>
      </x:c>
      <x:c r="N115" s="40" t="n">
        <x:f>MAX(0,MIN($G115,35)-MAX($F115,31)+1)*$D115/$E115</x:f>
        <x:v>0</x:v>
      </x:c>
      <x:c r="O115" s="40" t="n">
        <x:f>MAX(0,MIN($G115,40)-MAX($F115,36)+1)*$D115/$E115</x:f>
        <x:v>0</x:v>
      </x:c>
      <x:c r="P115" s="40" t="n">
        <x:f>MAX(0,MIN($G115,45)-MAX($F115,41)+1)*$D115/$E115</x:f>
        <x:v>0</x:v>
      </x:c>
      <x:c r="Q115" s="40" t="n">
        <x:f>MAX(0,MIN($G115,50)-MAX($F115,46)+1)*$D115/$E115</x:f>
        <x:v>0</x:v>
      </x:c>
      <x:c r="R115" s="40" t="n">
        <x:f>MAX(0,MIN($G115,55)-MAX($F115,51)+1)*$D115/$E115</x:f>
        <x:v>0</x:v>
      </x:c>
      <x:c r="S115" s="40" t="n">
        <x:f>MAX(0,MIN($G115,60)-MAX($F115,56)+1)*$D115/$E115</x:f>
        <x:v>0</x:v>
      </x:c>
      <x:c r="T115" s="40" t="n">
        <x:f>MAX(0,MIN($G115,65)-MAX($F115,61)+1)*$D115/$E115</x:f>
        <x:v>4</x:v>
      </x:c>
      <x:c r="U115" s="40" t="n">
        <x:f>MAX(0,MIN($G115,70)-MAX($F115,66)+1)*$D115/$E115</x:f>
        <x:v>4</x:v>
      </x:c>
      <x:c r="V115" s="40" t="n">
        <x:f>MAX(0,MIN($G115,75)-MAX($F115,71)+1)*$D115/$E115</x:f>
        <x:v>0</x:v>
      </x:c>
      <x:c r="W115" s="40" t="n">
        <x:f>MAX(0,MIN($G115,80)-MAX($F115,76)+1)*$D115/$E115</x:f>
        <x:v>0</x:v>
      </x:c>
      <x:c r="X115" s="40" t="n">
        <x:f>MAX(0,MIN($G115,85)-MAX($F115,81)+1)*$D115/$E115</x:f>
        <x:v>0</x:v>
      </x:c>
      <x:c r="Y115" s="40" t="n">
        <x:f>MAX(0,MIN($G115,90)-MAX($F115,86)+1)*$D115/$E115</x:f>
        <x:v>0</x:v>
      </x:c>
      <x:c r="Z115" s="40" t="n">
        <x:f>MAX(0,MIN($G115,95)-MAX($F115,91)+1)*$D115/$E115</x:f>
        <x:v>0</x:v>
      </x:c>
      <x:c r="AA115" s="40" t="n">
        <x:f>MAX(0,MIN($G115,100)-MAX($F115,96)+1)*$D115/$E115</x:f>
        <x:v>0</x:v>
      </x:c>
      <x:c r="AB115" s="40" t="n">
        <x:f>MAX(0,MIN($G115,105)-MAX($F115,101)+1)*$D115/$E115</x:f>
        <x:v>0</x:v>
      </x:c>
      <x:c r="AC115" s="40" t="n">
        <x:f>MAX(0,MIN($G115,110)-MAX($F115,106)+1)*$D115/$E115</x:f>
        <x:v>0</x:v>
      </x:c>
      <x:c r="AD115" s="40" t="n">
        <x:f>MAX(0,MIN($G115,115)-MAX($F115,111)+1)*$D115/$E115</x:f>
        <x:v>0</x:v>
      </x:c>
      <x:c r="AE115" s="40" t="n">
        <x:f>MAX(0,MIN($G115,120)-MAX($F115,116)+1)*$D115/$E115</x:f>
        <x:v>0</x:v>
      </x:c>
      <x:c r="AF115" s="40" t="n">
        <x:f>MAX(0,MIN($G115,125)-MAX($F115,121)+1)*$D115/$E115</x:f>
        <x:v>0</x:v>
      </x:c>
      <x:c r="AG115" s="40" t="n">
        <x:f>MAX(0,MIN($G115,130)-MAX($F115,126)+1)*$D115/$E115</x:f>
        <x:v>0</x:v>
      </x:c>
      <x:c r="AH115" s="40" t="n">
        <x:f>MAX(0,MIN($G115,135)-MAX($F115,131)+1)*$D115/$E115</x:f>
        <x:v>0</x:v>
      </x:c>
      <x:c r="AI115" s="40" t="n">
        <x:f>MAX(0,MIN($G115,140)-MAX($F115,136)+1)*$D115/$E115</x:f>
        <x:v>0</x:v>
      </x:c>
      <x:c r="AJ115" s="40" t="n">
        <x:f>MAX(0,MIN($G115,145)-MAX($F115,141)+1)*$D115/$E115</x:f>
        <x:v>0</x:v>
      </x:c>
      <x:c r="AK115" s="40" t="n">
        <x:f>MAX(0,MIN($G115,150)-MAX($F115,146)+1)*$D115/$E115</x:f>
        <x:v>0</x:v>
      </x:c>
      <x:c r="AL115" s="40" t="n">
        <x:f>MAX(0,MIN($G115,155)-MAX($F115,151)+1)*$D115/$E115</x:f>
        <x:v>0</x:v>
      </x:c>
      <x:c r="AM115" s="40" t="n">
        <x:f>MAX(0,MIN($G115,160)-MAX($F115,156)+1)*$D115/$E115</x:f>
        <x:v>0</x:v>
      </x:c>
      <x:c r="AN115" s="40" t="n">
        <x:f>MAX(0,MIN($G115,165)-MAX($F115,161)+1)*$D115/$E115</x:f>
        <x:v>0</x:v>
      </x:c>
      <x:c r="AO115" s="40" t="n">
        <x:f>MAX(0,MIN($G115,170)-MAX($F115,166)+1)*$D115/$E115</x:f>
        <x:v>0</x:v>
      </x:c>
      <x:c r="AP115" s="40" t="n">
        <x:f>MAX(0,MIN($G115,175)-MAX($F115,171)+1)*$D115/$E115</x:f>
        <x:v>0</x:v>
      </x:c>
      <x:c r="AQ115" s="40" t="n">
        <x:f>MAX(0,MIN($G115,180)-MAX($F115,176)+1)*$D115/$E115</x:f>
        <x:v>0</x:v>
      </x:c>
    </x:row>
    <x:row r="116" ht="27" customHeight="1">
      <x:c r="A116" s="10" t="str">
        <x:v>H02</x:v>
      </x:c>
      <x:c r="B116" s="10" t="str">
        <x:f>'Tasks'!D61</x:f>
        <x:v>AI</x:v>
      </x:c>
      <x:c r="C116" s="10" t="str">
        <x:v>Owner</x:v>
      </x:c>
      <x:c r="D116" s="39" t="n">
        <x:f>'Tasks'!O61</x:f>
        <x:v>40</x:v>
      </x:c>
      <x:c r="E116" s="39" t="n">
        <x:f>'Tasks'!F61</x:f>
        <x:v>10</x:v>
      </x:c>
      <x:c r="F116" s="39" t="n">
        <x:f>'Tasks'!K61</x:f>
        <x:v>75</x:v>
      </x:c>
      <x:c r="G116" s="39" t="n">
        <x:f>'Tasks'!L61</x:f>
        <x:v>84</x:v>
      </x:c>
      <x:c r="H116" s="39" t="n">
        <x:f>MAX(0,MIN($G116,5)-MAX($F116,1)+1)*$D116/$E116</x:f>
        <x:v>0</x:v>
      </x:c>
      <x:c r="I116" s="39" t="n">
        <x:f>MAX(0,MIN($G116,10)-MAX($F116,6)+1)*$D116/$E116</x:f>
        <x:v>0</x:v>
      </x:c>
      <x:c r="J116" s="39" t="n">
        <x:f>MAX(0,MIN($G116,15)-MAX($F116,11)+1)*$D116/$E116</x:f>
        <x:v>0</x:v>
      </x:c>
      <x:c r="K116" s="39" t="n">
        <x:f>MAX(0,MIN($G116,20)-MAX($F116,16)+1)*$D116/$E116</x:f>
        <x:v>0</x:v>
      </x:c>
      <x:c r="L116" s="39" t="n">
        <x:f>MAX(0,MIN($G116,25)-MAX($F116,21)+1)*$D116/$E116</x:f>
        <x:v>0</x:v>
      </x:c>
      <x:c r="M116" s="39" t="n">
        <x:f>MAX(0,MIN($G116,30)-MAX($F116,26)+1)*$D116/$E116</x:f>
        <x:v>0</x:v>
      </x:c>
      <x:c r="N116" s="39" t="n">
        <x:f>MAX(0,MIN($G116,35)-MAX($F116,31)+1)*$D116/$E116</x:f>
        <x:v>0</x:v>
      </x:c>
      <x:c r="O116" s="39" t="n">
        <x:f>MAX(0,MIN($G116,40)-MAX($F116,36)+1)*$D116/$E116</x:f>
        <x:v>0</x:v>
      </x:c>
      <x:c r="P116" s="39" t="n">
        <x:f>MAX(0,MIN($G116,45)-MAX($F116,41)+1)*$D116/$E116</x:f>
        <x:v>0</x:v>
      </x:c>
      <x:c r="Q116" s="39" t="n">
        <x:f>MAX(0,MIN($G116,50)-MAX($F116,46)+1)*$D116/$E116</x:f>
        <x:v>0</x:v>
      </x:c>
      <x:c r="R116" s="39" t="n">
        <x:f>MAX(0,MIN($G116,55)-MAX($F116,51)+1)*$D116/$E116</x:f>
        <x:v>0</x:v>
      </x:c>
      <x:c r="S116" s="39" t="n">
        <x:f>MAX(0,MIN($G116,60)-MAX($F116,56)+1)*$D116/$E116</x:f>
        <x:v>0</x:v>
      </x:c>
      <x:c r="T116" s="39" t="n">
        <x:f>MAX(0,MIN($G116,65)-MAX($F116,61)+1)*$D116/$E116</x:f>
        <x:v>0</x:v>
      </x:c>
      <x:c r="U116" s="39" t="n">
        <x:f>MAX(0,MIN($G116,70)-MAX($F116,66)+1)*$D116/$E116</x:f>
        <x:v>0</x:v>
      </x:c>
      <x:c r="V116" s="39" t="n">
        <x:f>MAX(0,MIN($G116,75)-MAX($F116,71)+1)*$D116/$E116</x:f>
        <x:v>4</x:v>
      </x:c>
      <x:c r="W116" s="39" t="n">
        <x:f>MAX(0,MIN($G116,80)-MAX($F116,76)+1)*$D116/$E116</x:f>
        <x:v>20</x:v>
      </x:c>
      <x:c r="X116" s="39" t="n">
        <x:f>MAX(0,MIN($G116,85)-MAX($F116,81)+1)*$D116/$E116</x:f>
        <x:v>16</x:v>
      </x:c>
      <x:c r="Y116" s="39" t="n">
        <x:f>MAX(0,MIN($G116,90)-MAX($F116,86)+1)*$D116/$E116</x:f>
        <x:v>0</x:v>
      </x:c>
      <x:c r="Z116" s="39" t="n">
        <x:f>MAX(0,MIN($G116,95)-MAX($F116,91)+1)*$D116/$E116</x:f>
        <x:v>0</x:v>
      </x:c>
      <x:c r="AA116" s="39" t="n">
        <x:f>MAX(0,MIN($G116,100)-MAX($F116,96)+1)*$D116/$E116</x:f>
        <x:v>0</x:v>
      </x:c>
      <x:c r="AB116" s="39" t="n">
        <x:f>MAX(0,MIN($G116,105)-MAX($F116,101)+1)*$D116/$E116</x:f>
        <x:v>0</x:v>
      </x:c>
      <x:c r="AC116" s="39" t="n">
        <x:f>MAX(0,MIN($G116,110)-MAX($F116,106)+1)*$D116/$E116</x:f>
        <x:v>0</x:v>
      </x:c>
      <x:c r="AD116" s="39" t="n">
        <x:f>MAX(0,MIN($G116,115)-MAX($F116,111)+1)*$D116/$E116</x:f>
        <x:v>0</x:v>
      </x:c>
      <x:c r="AE116" s="39" t="n">
        <x:f>MAX(0,MIN($G116,120)-MAX($F116,116)+1)*$D116/$E116</x:f>
        <x:v>0</x:v>
      </x:c>
      <x:c r="AF116" s="39" t="n">
        <x:f>MAX(0,MIN($G116,125)-MAX($F116,121)+1)*$D116/$E116</x:f>
        <x:v>0</x:v>
      </x:c>
      <x:c r="AG116" s="39" t="n">
        <x:f>MAX(0,MIN($G116,130)-MAX($F116,126)+1)*$D116/$E116</x:f>
        <x:v>0</x:v>
      </x:c>
      <x:c r="AH116" s="39" t="n">
        <x:f>MAX(0,MIN($G116,135)-MAX($F116,131)+1)*$D116/$E116</x:f>
        <x:v>0</x:v>
      </x:c>
      <x:c r="AI116" s="39" t="n">
        <x:f>MAX(0,MIN($G116,140)-MAX($F116,136)+1)*$D116/$E116</x:f>
        <x:v>0</x:v>
      </x:c>
      <x:c r="AJ116" s="39" t="n">
        <x:f>MAX(0,MIN($G116,145)-MAX($F116,141)+1)*$D116/$E116</x:f>
        <x:v>0</x:v>
      </x:c>
      <x:c r="AK116" s="39" t="n">
        <x:f>MAX(0,MIN($G116,150)-MAX($F116,146)+1)*$D116/$E116</x:f>
        <x:v>0</x:v>
      </x:c>
      <x:c r="AL116" s="39" t="n">
        <x:f>MAX(0,MIN($G116,155)-MAX($F116,151)+1)*$D116/$E116</x:f>
        <x:v>0</x:v>
      </x:c>
      <x:c r="AM116" s="39" t="n">
        <x:f>MAX(0,MIN($G116,160)-MAX($F116,156)+1)*$D116/$E116</x:f>
        <x:v>0</x:v>
      </x:c>
      <x:c r="AN116" s="39" t="n">
        <x:f>MAX(0,MIN($G116,165)-MAX($F116,161)+1)*$D116/$E116</x:f>
        <x:v>0</x:v>
      </x:c>
      <x:c r="AO116" s="39" t="n">
        <x:f>MAX(0,MIN($G116,170)-MAX($F116,166)+1)*$D116/$E116</x:f>
        <x:v>0</x:v>
      </x:c>
      <x:c r="AP116" s="39" t="n">
        <x:f>MAX(0,MIN($G116,175)-MAX($F116,171)+1)*$D116/$E116</x:f>
        <x:v>0</x:v>
      </x:c>
      <x:c r="AQ116" s="39" t="n">
        <x:f>MAX(0,MIN($G116,180)-MAX($F116,176)+1)*$D116/$E116</x:f>
        <x:v>0</x:v>
      </x:c>
    </x:row>
    <x:row r="117" ht="27" customHeight="1">
      <x:c r="A117" s="9" t="str">
        <x:v>H02</x:v>
      </x:c>
      <x:c r="B117" s="9" t="str">
        <x:f>'Tasks'!P61</x:f>
        <x:v>SEC</x:v>
      </x:c>
      <x:c r="C117" s="9" t="str">
        <x:v>Review</x:v>
      </x:c>
      <x:c r="D117" s="40" t="n">
        <x:f>'Tasks'!Q61</x:f>
        <x:v>10</x:v>
      </x:c>
      <x:c r="E117" s="40" t="n">
        <x:f>'Tasks'!F61</x:f>
        <x:v>10</x:v>
      </x:c>
      <x:c r="F117" s="40" t="n">
        <x:f>'Tasks'!K61</x:f>
        <x:v>75</x:v>
      </x:c>
      <x:c r="G117" s="40" t="n">
        <x:f>'Tasks'!L61</x:f>
        <x:v>84</x:v>
      </x:c>
      <x:c r="H117" s="40" t="n">
        <x:f>MAX(0,MIN($G117,5)-MAX($F117,1)+1)*$D117/$E117</x:f>
        <x:v>0</x:v>
      </x:c>
      <x:c r="I117" s="40" t="n">
        <x:f>MAX(0,MIN($G117,10)-MAX($F117,6)+1)*$D117/$E117</x:f>
        <x:v>0</x:v>
      </x:c>
      <x:c r="J117" s="40" t="n">
        <x:f>MAX(0,MIN($G117,15)-MAX($F117,11)+1)*$D117/$E117</x:f>
        <x:v>0</x:v>
      </x:c>
      <x:c r="K117" s="40" t="n">
        <x:f>MAX(0,MIN($G117,20)-MAX($F117,16)+1)*$D117/$E117</x:f>
        <x:v>0</x:v>
      </x:c>
      <x:c r="L117" s="40" t="n">
        <x:f>MAX(0,MIN($G117,25)-MAX($F117,21)+1)*$D117/$E117</x:f>
        <x:v>0</x:v>
      </x:c>
      <x:c r="M117" s="40" t="n">
        <x:f>MAX(0,MIN($G117,30)-MAX($F117,26)+1)*$D117/$E117</x:f>
        <x:v>0</x:v>
      </x:c>
      <x:c r="N117" s="40" t="n">
        <x:f>MAX(0,MIN($G117,35)-MAX($F117,31)+1)*$D117/$E117</x:f>
        <x:v>0</x:v>
      </x:c>
      <x:c r="O117" s="40" t="n">
        <x:f>MAX(0,MIN($G117,40)-MAX($F117,36)+1)*$D117/$E117</x:f>
        <x:v>0</x:v>
      </x:c>
      <x:c r="P117" s="40" t="n">
        <x:f>MAX(0,MIN($G117,45)-MAX($F117,41)+1)*$D117/$E117</x:f>
        <x:v>0</x:v>
      </x:c>
      <x:c r="Q117" s="40" t="n">
        <x:f>MAX(0,MIN($G117,50)-MAX($F117,46)+1)*$D117/$E117</x:f>
        <x:v>0</x:v>
      </x:c>
      <x:c r="R117" s="40" t="n">
        <x:f>MAX(0,MIN($G117,55)-MAX($F117,51)+1)*$D117/$E117</x:f>
        <x:v>0</x:v>
      </x:c>
      <x:c r="S117" s="40" t="n">
        <x:f>MAX(0,MIN($G117,60)-MAX($F117,56)+1)*$D117/$E117</x:f>
        <x:v>0</x:v>
      </x:c>
      <x:c r="T117" s="40" t="n">
        <x:f>MAX(0,MIN($G117,65)-MAX($F117,61)+1)*$D117/$E117</x:f>
        <x:v>0</x:v>
      </x:c>
      <x:c r="U117" s="40" t="n">
        <x:f>MAX(0,MIN($G117,70)-MAX($F117,66)+1)*$D117/$E117</x:f>
        <x:v>0</x:v>
      </x:c>
      <x:c r="V117" s="40" t="n">
        <x:f>MAX(0,MIN($G117,75)-MAX($F117,71)+1)*$D117/$E117</x:f>
        <x:v>1</x:v>
      </x:c>
      <x:c r="W117" s="40" t="n">
        <x:f>MAX(0,MIN($G117,80)-MAX($F117,76)+1)*$D117/$E117</x:f>
        <x:v>5</x:v>
      </x:c>
      <x:c r="X117" s="40" t="n">
        <x:f>MAX(0,MIN($G117,85)-MAX($F117,81)+1)*$D117/$E117</x:f>
        <x:v>4</x:v>
      </x:c>
      <x:c r="Y117" s="40" t="n">
        <x:f>MAX(0,MIN($G117,90)-MAX($F117,86)+1)*$D117/$E117</x:f>
        <x:v>0</x:v>
      </x:c>
      <x:c r="Z117" s="40" t="n">
        <x:f>MAX(0,MIN($G117,95)-MAX($F117,91)+1)*$D117/$E117</x:f>
        <x:v>0</x:v>
      </x:c>
      <x:c r="AA117" s="40" t="n">
        <x:f>MAX(0,MIN($G117,100)-MAX($F117,96)+1)*$D117/$E117</x:f>
        <x:v>0</x:v>
      </x:c>
      <x:c r="AB117" s="40" t="n">
        <x:f>MAX(0,MIN($G117,105)-MAX($F117,101)+1)*$D117/$E117</x:f>
        <x:v>0</x:v>
      </x:c>
      <x:c r="AC117" s="40" t="n">
        <x:f>MAX(0,MIN($G117,110)-MAX($F117,106)+1)*$D117/$E117</x:f>
        <x:v>0</x:v>
      </x:c>
      <x:c r="AD117" s="40" t="n">
        <x:f>MAX(0,MIN($G117,115)-MAX($F117,111)+1)*$D117/$E117</x:f>
        <x:v>0</x:v>
      </x:c>
      <x:c r="AE117" s="40" t="n">
        <x:f>MAX(0,MIN($G117,120)-MAX($F117,116)+1)*$D117/$E117</x:f>
        <x:v>0</x:v>
      </x:c>
      <x:c r="AF117" s="40" t="n">
        <x:f>MAX(0,MIN($G117,125)-MAX($F117,121)+1)*$D117/$E117</x:f>
        <x:v>0</x:v>
      </x:c>
      <x:c r="AG117" s="40" t="n">
        <x:f>MAX(0,MIN($G117,130)-MAX($F117,126)+1)*$D117/$E117</x:f>
        <x:v>0</x:v>
      </x:c>
      <x:c r="AH117" s="40" t="n">
        <x:f>MAX(0,MIN($G117,135)-MAX($F117,131)+1)*$D117/$E117</x:f>
        <x:v>0</x:v>
      </x:c>
      <x:c r="AI117" s="40" t="n">
        <x:f>MAX(0,MIN($G117,140)-MAX($F117,136)+1)*$D117/$E117</x:f>
        <x:v>0</x:v>
      </x:c>
      <x:c r="AJ117" s="40" t="n">
        <x:f>MAX(0,MIN($G117,145)-MAX($F117,141)+1)*$D117/$E117</x:f>
        <x:v>0</x:v>
      </x:c>
      <x:c r="AK117" s="40" t="n">
        <x:f>MAX(0,MIN($G117,150)-MAX($F117,146)+1)*$D117/$E117</x:f>
        <x:v>0</x:v>
      </x:c>
      <x:c r="AL117" s="40" t="n">
        <x:f>MAX(0,MIN($G117,155)-MAX($F117,151)+1)*$D117/$E117</x:f>
        <x:v>0</x:v>
      </x:c>
      <x:c r="AM117" s="40" t="n">
        <x:f>MAX(0,MIN($G117,160)-MAX($F117,156)+1)*$D117/$E117</x:f>
        <x:v>0</x:v>
      </x:c>
      <x:c r="AN117" s="40" t="n">
        <x:f>MAX(0,MIN($G117,165)-MAX($F117,161)+1)*$D117/$E117</x:f>
        <x:v>0</x:v>
      </x:c>
      <x:c r="AO117" s="40" t="n">
        <x:f>MAX(0,MIN($G117,170)-MAX($F117,166)+1)*$D117/$E117</x:f>
        <x:v>0</x:v>
      </x:c>
      <x:c r="AP117" s="40" t="n">
        <x:f>MAX(0,MIN($G117,175)-MAX($F117,171)+1)*$D117/$E117</x:f>
        <x:v>0</x:v>
      </x:c>
      <x:c r="AQ117" s="40" t="n">
        <x:f>MAX(0,MIN($G117,180)-MAX($F117,176)+1)*$D117/$E117</x:f>
        <x:v>0</x:v>
      </x:c>
    </x:row>
    <x:row r="118" ht="27" customHeight="1">
      <x:c r="A118" s="10" t="str">
        <x:v>H03</x:v>
      </x:c>
      <x:c r="B118" s="10" t="str">
        <x:f>'Tasks'!D62</x:f>
        <x:v>AI</x:v>
      </x:c>
      <x:c r="C118" s="10" t="str">
        <x:v>Owner</x:v>
      </x:c>
      <x:c r="D118" s="39" t="n">
        <x:f>'Tasks'!O62</x:f>
        <x:v>22</x:v>
      </x:c>
      <x:c r="E118" s="39" t="n">
        <x:f>'Tasks'!F62</x:f>
        <x:v>4</x:v>
      </x:c>
      <x:c r="F118" s="39" t="n">
        <x:f>'Tasks'!K62</x:f>
        <x:v>115</x:v>
      </x:c>
      <x:c r="G118" s="39" t="n">
        <x:f>'Tasks'!L62</x:f>
        <x:v>118</x:v>
      </x:c>
      <x:c r="H118" s="39" t="n">
        <x:f>MAX(0,MIN($G118,5)-MAX($F118,1)+1)*$D118/$E118</x:f>
        <x:v>0</x:v>
      </x:c>
      <x:c r="I118" s="39" t="n">
        <x:f>MAX(0,MIN($G118,10)-MAX($F118,6)+1)*$D118/$E118</x:f>
        <x:v>0</x:v>
      </x:c>
      <x:c r="J118" s="39" t="n">
        <x:f>MAX(0,MIN($G118,15)-MAX($F118,11)+1)*$D118/$E118</x:f>
        <x:v>0</x:v>
      </x:c>
      <x:c r="K118" s="39" t="n">
        <x:f>MAX(0,MIN($G118,20)-MAX($F118,16)+1)*$D118/$E118</x:f>
        <x:v>0</x:v>
      </x:c>
      <x:c r="L118" s="39" t="n">
        <x:f>MAX(0,MIN($G118,25)-MAX($F118,21)+1)*$D118/$E118</x:f>
        <x:v>0</x:v>
      </x:c>
      <x:c r="M118" s="39" t="n">
        <x:f>MAX(0,MIN($G118,30)-MAX($F118,26)+1)*$D118/$E118</x:f>
        <x:v>0</x:v>
      </x:c>
      <x:c r="N118" s="39" t="n">
        <x:f>MAX(0,MIN($G118,35)-MAX($F118,31)+1)*$D118/$E118</x:f>
        <x:v>0</x:v>
      </x:c>
      <x:c r="O118" s="39" t="n">
        <x:f>MAX(0,MIN($G118,40)-MAX($F118,36)+1)*$D118/$E118</x:f>
        <x:v>0</x:v>
      </x:c>
      <x:c r="P118" s="39" t="n">
        <x:f>MAX(0,MIN($G118,45)-MAX($F118,41)+1)*$D118/$E118</x:f>
        <x:v>0</x:v>
      </x:c>
      <x:c r="Q118" s="39" t="n">
        <x:f>MAX(0,MIN($G118,50)-MAX($F118,46)+1)*$D118/$E118</x:f>
        <x:v>0</x:v>
      </x:c>
      <x:c r="R118" s="39" t="n">
        <x:f>MAX(0,MIN($G118,55)-MAX($F118,51)+1)*$D118/$E118</x:f>
        <x:v>0</x:v>
      </x:c>
      <x:c r="S118" s="39" t="n">
        <x:f>MAX(0,MIN($G118,60)-MAX($F118,56)+1)*$D118/$E118</x:f>
        <x:v>0</x:v>
      </x:c>
      <x:c r="T118" s="39" t="n">
        <x:f>MAX(0,MIN($G118,65)-MAX($F118,61)+1)*$D118/$E118</x:f>
        <x:v>0</x:v>
      </x:c>
      <x:c r="U118" s="39" t="n">
        <x:f>MAX(0,MIN($G118,70)-MAX($F118,66)+1)*$D118/$E118</x:f>
        <x:v>0</x:v>
      </x:c>
      <x:c r="V118" s="39" t="n">
        <x:f>MAX(0,MIN($G118,75)-MAX($F118,71)+1)*$D118/$E118</x:f>
        <x:v>0</x:v>
      </x:c>
      <x:c r="W118" s="39" t="n">
        <x:f>MAX(0,MIN($G118,80)-MAX($F118,76)+1)*$D118/$E118</x:f>
        <x:v>0</x:v>
      </x:c>
      <x:c r="X118" s="39" t="n">
        <x:f>MAX(0,MIN($G118,85)-MAX($F118,81)+1)*$D118/$E118</x:f>
        <x:v>0</x:v>
      </x:c>
      <x:c r="Y118" s="39" t="n">
        <x:f>MAX(0,MIN($G118,90)-MAX($F118,86)+1)*$D118/$E118</x:f>
        <x:v>0</x:v>
      </x:c>
      <x:c r="Z118" s="39" t="n">
        <x:f>MAX(0,MIN($G118,95)-MAX($F118,91)+1)*$D118/$E118</x:f>
        <x:v>0</x:v>
      </x:c>
      <x:c r="AA118" s="39" t="n">
        <x:f>MAX(0,MIN($G118,100)-MAX($F118,96)+1)*$D118/$E118</x:f>
        <x:v>0</x:v>
      </x:c>
      <x:c r="AB118" s="39" t="n">
        <x:f>MAX(0,MIN($G118,105)-MAX($F118,101)+1)*$D118/$E118</x:f>
        <x:v>0</x:v>
      </x:c>
      <x:c r="AC118" s="39" t="n">
        <x:f>MAX(0,MIN($G118,110)-MAX($F118,106)+1)*$D118/$E118</x:f>
        <x:v>0</x:v>
      </x:c>
      <x:c r="AD118" s="39" t="n">
        <x:f>MAX(0,MIN($G118,115)-MAX($F118,111)+1)*$D118/$E118</x:f>
        <x:v>5.5</x:v>
      </x:c>
      <x:c r="AE118" s="39" t="n">
        <x:f>MAX(0,MIN($G118,120)-MAX($F118,116)+1)*$D118/$E118</x:f>
        <x:v>16.5</x:v>
      </x:c>
      <x:c r="AF118" s="39" t="n">
        <x:f>MAX(0,MIN($G118,125)-MAX($F118,121)+1)*$D118/$E118</x:f>
        <x:v>0</x:v>
      </x:c>
      <x:c r="AG118" s="39" t="n">
        <x:f>MAX(0,MIN($G118,130)-MAX($F118,126)+1)*$D118/$E118</x:f>
        <x:v>0</x:v>
      </x:c>
      <x:c r="AH118" s="39" t="n">
        <x:f>MAX(0,MIN($G118,135)-MAX($F118,131)+1)*$D118/$E118</x:f>
        <x:v>0</x:v>
      </x:c>
      <x:c r="AI118" s="39" t="n">
        <x:f>MAX(0,MIN($G118,140)-MAX($F118,136)+1)*$D118/$E118</x:f>
        <x:v>0</x:v>
      </x:c>
      <x:c r="AJ118" s="39" t="n">
        <x:f>MAX(0,MIN($G118,145)-MAX($F118,141)+1)*$D118/$E118</x:f>
        <x:v>0</x:v>
      </x:c>
      <x:c r="AK118" s="39" t="n">
        <x:f>MAX(0,MIN($G118,150)-MAX($F118,146)+1)*$D118/$E118</x:f>
        <x:v>0</x:v>
      </x:c>
      <x:c r="AL118" s="39" t="n">
        <x:f>MAX(0,MIN($G118,155)-MAX($F118,151)+1)*$D118/$E118</x:f>
        <x:v>0</x:v>
      </x:c>
      <x:c r="AM118" s="39" t="n">
        <x:f>MAX(0,MIN($G118,160)-MAX($F118,156)+1)*$D118/$E118</x:f>
        <x:v>0</x:v>
      </x:c>
      <x:c r="AN118" s="39" t="n">
        <x:f>MAX(0,MIN($G118,165)-MAX($F118,161)+1)*$D118/$E118</x:f>
        <x:v>0</x:v>
      </x:c>
      <x:c r="AO118" s="39" t="n">
        <x:f>MAX(0,MIN($G118,170)-MAX($F118,166)+1)*$D118/$E118</x:f>
        <x:v>0</x:v>
      </x:c>
      <x:c r="AP118" s="39" t="n">
        <x:f>MAX(0,MIN($G118,175)-MAX($F118,171)+1)*$D118/$E118</x:f>
        <x:v>0</x:v>
      </x:c>
      <x:c r="AQ118" s="39" t="n">
        <x:f>MAX(0,MIN($G118,180)-MAX($F118,176)+1)*$D118/$E118</x:f>
        <x:v>0</x:v>
      </x:c>
    </x:row>
    <x:row r="119" ht="27" customHeight="1">
      <x:c r="A119" s="9" t="str">
        <x:v>H03</x:v>
      </x:c>
      <x:c r="B119" s="9" t="str">
        <x:f>'Tasks'!P62</x:f>
        <x:v>OPS</x:v>
      </x:c>
      <x:c r="C119" s="9" t="str">
        <x:v>Review</x:v>
      </x:c>
      <x:c r="D119" s="40" t="n">
        <x:f>'Tasks'!Q62</x:f>
        <x:v>6</x:v>
      </x:c>
      <x:c r="E119" s="40" t="n">
        <x:f>'Tasks'!F62</x:f>
        <x:v>4</x:v>
      </x:c>
      <x:c r="F119" s="40" t="n">
        <x:f>'Tasks'!K62</x:f>
        <x:v>115</x:v>
      </x:c>
      <x:c r="G119" s="40" t="n">
        <x:f>'Tasks'!L62</x:f>
        <x:v>118</x:v>
      </x:c>
      <x:c r="H119" s="40" t="n">
        <x:f>MAX(0,MIN($G119,5)-MAX($F119,1)+1)*$D119/$E119</x:f>
        <x:v>0</x:v>
      </x:c>
      <x:c r="I119" s="40" t="n">
        <x:f>MAX(0,MIN($G119,10)-MAX($F119,6)+1)*$D119/$E119</x:f>
        <x:v>0</x:v>
      </x:c>
      <x:c r="J119" s="40" t="n">
        <x:f>MAX(0,MIN($G119,15)-MAX($F119,11)+1)*$D119/$E119</x:f>
        <x:v>0</x:v>
      </x:c>
      <x:c r="K119" s="40" t="n">
        <x:f>MAX(0,MIN($G119,20)-MAX($F119,16)+1)*$D119/$E119</x:f>
        <x:v>0</x:v>
      </x:c>
      <x:c r="L119" s="40" t="n">
        <x:f>MAX(0,MIN($G119,25)-MAX($F119,21)+1)*$D119/$E119</x:f>
        <x:v>0</x:v>
      </x:c>
      <x:c r="M119" s="40" t="n">
        <x:f>MAX(0,MIN($G119,30)-MAX($F119,26)+1)*$D119/$E119</x:f>
        <x:v>0</x:v>
      </x:c>
      <x:c r="N119" s="40" t="n">
        <x:f>MAX(0,MIN($G119,35)-MAX($F119,31)+1)*$D119/$E119</x:f>
        <x:v>0</x:v>
      </x:c>
      <x:c r="O119" s="40" t="n">
        <x:f>MAX(0,MIN($G119,40)-MAX($F119,36)+1)*$D119/$E119</x:f>
        <x:v>0</x:v>
      </x:c>
      <x:c r="P119" s="40" t="n">
        <x:f>MAX(0,MIN($G119,45)-MAX($F119,41)+1)*$D119/$E119</x:f>
        <x:v>0</x:v>
      </x:c>
      <x:c r="Q119" s="40" t="n">
        <x:f>MAX(0,MIN($G119,50)-MAX($F119,46)+1)*$D119/$E119</x:f>
        <x:v>0</x:v>
      </x:c>
      <x:c r="R119" s="40" t="n">
        <x:f>MAX(0,MIN($G119,55)-MAX($F119,51)+1)*$D119/$E119</x:f>
        <x:v>0</x:v>
      </x:c>
      <x:c r="S119" s="40" t="n">
        <x:f>MAX(0,MIN($G119,60)-MAX($F119,56)+1)*$D119/$E119</x:f>
        <x:v>0</x:v>
      </x:c>
      <x:c r="T119" s="40" t="n">
        <x:f>MAX(0,MIN($G119,65)-MAX($F119,61)+1)*$D119/$E119</x:f>
        <x:v>0</x:v>
      </x:c>
      <x:c r="U119" s="40" t="n">
        <x:f>MAX(0,MIN($G119,70)-MAX($F119,66)+1)*$D119/$E119</x:f>
        <x:v>0</x:v>
      </x:c>
      <x:c r="V119" s="40" t="n">
        <x:f>MAX(0,MIN($G119,75)-MAX($F119,71)+1)*$D119/$E119</x:f>
        <x:v>0</x:v>
      </x:c>
      <x:c r="W119" s="40" t="n">
        <x:f>MAX(0,MIN($G119,80)-MAX($F119,76)+1)*$D119/$E119</x:f>
        <x:v>0</x:v>
      </x:c>
      <x:c r="X119" s="40" t="n">
        <x:f>MAX(0,MIN($G119,85)-MAX($F119,81)+1)*$D119/$E119</x:f>
        <x:v>0</x:v>
      </x:c>
      <x:c r="Y119" s="40" t="n">
        <x:f>MAX(0,MIN($G119,90)-MAX($F119,86)+1)*$D119/$E119</x:f>
        <x:v>0</x:v>
      </x:c>
      <x:c r="Z119" s="40" t="n">
        <x:f>MAX(0,MIN($G119,95)-MAX($F119,91)+1)*$D119/$E119</x:f>
        <x:v>0</x:v>
      </x:c>
      <x:c r="AA119" s="40" t="n">
        <x:f>MAX(0,MIN($G119,100)-MAX($F119,96)+1)*$D119/$E119</x:f>
        <x:v>0</x:v>
      </x:c>
      <x:c r="AB119" s="40" t="n">
        <x:f>MAX(0,MIN($G119,105)-MAX($F119,101)+1)*$D119/$E119</x:f>
        <x:v>0</x:v>
      </x:c>
      <x:c r="AC119" s="40" t="n">
        <x:f>MAX(0,MIN($G119,110)-MAX($F119,106)+1)*$D119/$E119</x:f>
        <x:v>0</x:v>
      </x:c>
      <x:c r="AD119" s="40" t="n">
        <x:f>MAX(0,MIN($G119,115)-MAX($F119,111)+1)*$D119/$E119</x:f>
        <x:v>1.5</x:v>
      </x:c>
      <x:c r="AE119" s="40" t="n">
        <x:f>MAX(0,MIN($G119,120)-MAX($F119,116)+1)*$D119/$E119</x:f>
        <x:v>4.5</x:v>
      </x:c>
      <x:c r="AF119" s="40" t="n">
        <x:f>MAX(0,MIN($G119,125)-MAX($F119,121)+1)*$D119/$E119</x:f>
        <x:v>0</x:v>
      </x:c>
      <x:c r="AG119" s="40" t="n">
        <x:f>MAX(0,MIN($G119,130)-MAX($F119,126)+1)*$D119/$E119</x:f>
        <x:v>0</x:v>
      </x:c>
      <x:c r="AH119" s="40" t="n">
        <x:f>MAX(0,MIN($G119,135)-MAX($F119,131)+1)*$D119/$E119</x:f>
        <x:v>0</x:v>
      </x:c>
      <x:c r="AI119" s="40" t="n">
        <x:f>MAX(0,MIN($G119,140)-MAX($F119,136)+1)*$D119/$E119</x:f>
        <x:v>0</x:v>
      </x:c>
      <x:c r="AJ119" s="40" t="n">
        <x:f>MAX(0,MIN($G119,145)-MAX($F119,141)+1)*$D119/$E119</x:f>
        <x:v>0</x:v>
      </x:c>
      <x:c r="AK119" s="40" t="n">
        <x:f>MAX(0,MIN($G119,150)-MAX($F119,146)+1)*$D119/$E119</x:f>
        <x:v>0</x:v>
      </x:c>
      <x:c r="AL119" s="40" t="n">
        <x:f>MAX(0,MIN($G119,155)-MAX($F119,151)+1)*$D119/$E119</x:f>
        <x:v>0</x:v>
      </x:c>
      <x:c r="AM119" s="40" t="n">
        <x:f>MAX(0,MIN($G119,160)-MAX($F119,156)+1)*$D119/$E119</x:f>
        <x:v>0</x:v>
      </x:c>
      <x:c r="AN119" s="40" t="n">
        <x:f>MAX(0,MIN($G119,165)-MAX($F119,161)+1)*$D119/$E119</x:f>
        <x:v>0</x:v>
      </x:c>
      <x:c r="AO119" s="40" t="n">
        <x:f>MAX(0,MIN($G119,170)-MAX($F119,166)+1)*$D119/$E119</x:f>
        <x:v>0</x:v>
      </x:c>
      <x:c r="AP119" s="40" t="n">
        <x:f>MAX(0,MIN($G119,175)-MAX($F119,171)+1)*$D119/$E119</x:f>
        <x:v>0</x:v>
      </x:c>
      <x:c r="AQ119" s="40" t="n">
        <x:f>MAX(0,MIN($G119,180)-MAX($F119,176)+1)*$D119/$E119</x:f>
        <x:v>0</x:v>
      </x:c>
    </x:row>
    <x:row r="120" ht="27" customHeight="1">
      <x:c r="A120" s="10" t="str">
        <x:v>H04</x:v>
      </x:c>
      <x:c r="B120" s="10" t="str">
        <x:f>'Tasks'!D63</x:f>
        <x:v>OPS</x:v>
      </x:c>
      <x:c r="C120" s="10" t="str">
        <x:v>Owner</x:v>
      </x:c>
      <x:c r="D120" s="39" t="n">
        <x:f>'Tasks'!O63</x:f>
        <x:v>36</x:v>
      </x:c>
      <x:c r="E120" s="39" t="n">
        <x:f>'Tasks'!F63</x:f>
        <x:v>8</x:v>
      </x:c>
      <x:c r="F120" s="39" t="n">
        <x:f>'Tasks'!K63</x:f>
        <x:v>85</x:v>
      </x:c>
      <x:c r="G120" s="39" t="n">
        <x:f>'Tasks'!L63</x:f>
        <x:v>92</x:v>
      </x:c>
      <x:c r="H120" s="39" t="n">
        <x:f>MAX(0,MIN($G120,5)-MAX($F120,1)+1)*$D120/$E120</x:f>
        <x:v>0</x:v>
      </x:c>
      <x:c r="I120" s="39" t="n">
        <x:f>MAX(0,MIN($G120,10)-MAX($F120,6)+1)*$D120/$E120</x:f>
        <x:v>0</x:v>
      </x:c>
      <x:c r="J120" s="39" t="n">
        <x:f>MAX(0,MIN($G120,15)-MAX($F120,11)+1)*$D120/$E120</x:f>
        <x:v>0</x:v>
      </x:c>
      <x:c r="K120" s="39" t="n">
        <x:f>MAX(0,MIN($G120,20)-MAX($F120,16)+1)*$D120/$E120</x:f>
        <x:v>0</x:v>
      </x:c>
      <x:c r="L120" s="39" t="n">
        <x:f>MAX(0,MIN($G120,25)-MAX($F120,21)+1)*$D120/$E120</x:f>
        <x:v>0</x:v>
      </x:c>
      <x:c r="M120" s="39" t="n">
        <x:f>MAX(0,MIN($G120,30)-MAX($F120,26)+1)*$D120/$E120</x:f>
        <x:v>0</x:v>
      </x:c>
      <x:c r="N120" s="39" t="n">
        <x:f>MAX(0,MIN($G120,35)-MAX($F120,31)+1)*$D120/$E120</x:f>
        <x:v>0</x:v>
      </x:c>
      <x:c r="O120" s="39" t="n">
        <x:f>MAX(0,MIN($G120,40)-MAX($F120,36)+1)*$D120/$E120</x:f>
        <x:v>0</x:v>
      </x:c>
      <x:c r="P120" s="39" t="n">
        <x:f>MAX(0,MIN($G120,45)-MAX($F120,41)+1)*$D120/$E120</x:f>
        <x:v>0</x:v>
      </x:c>
      <x:c r="Q120" s="39" t="n">
        <x:f>MAX(0,MIN($G120,50)-MAX($F120,46)+1)*$D120/$E120</x:f>
        <x:v>0</x:v>
      </x:c>
      <x:c r="R120" s="39" t="n">
        <x:f>MAX(0,MIN($G120,55)-MAX($F120,51)+1)*$D120/$E120</x:f>
        <x:v>0</x:v>
      </x:c>
      <x:c r="S120" s="39" t="n">
        <x:f>MAX(0,MIN($G120,60)-MAX($F120,56)+1)*$D120/$E120</x:f>
        <x:v>0</x:v>
      </x:c>
      <x:c r="T120" s="39" t="n">
        <x:f>MAX(0,MIN($G120,65)-MAX($F120,61)+1)*$D120/$E120</x:f>
        <x:v>0</x:v>
      </x:c>
      <x:c r="U120" s="39" t="n">
        <x:f>MAX(0,MIN($G120,70)-MAX($F120,66)+1)*$D120/$E120</x:f>
        <x:v>0</x:v>
      </x:c>
      <x:c r="V120" s="39" t="n">
        <x:f>MAX(0,MIN($G120,75)-MAX($F120,71)+1)*$D120/$E120</x:f>
        <x:v>0</x:v>
      </x:c>
      <x:c r="W120" s="39" t="n">
        <x:f>MAX(0,MIN($G120,80)-MAX($F120,76)+1)*$D120/$E120</x:f>
        <x:v>0</x:v>
      </x:c>
      <x:c r="X120" s="39" t="n">
        <x:f>MAX(0,MIN($G120,85)-MAX($F120,81)+1)*$D120/$E120</x:f>
        <x:v>4.5</x:v>
      </x:c>
      <x:c r="Y120" s="39" t="n">
        <x:f>MAX(0,MIN($G120,90)-MAX($F120,86)+1)*$D120/$E120</x:f>
        <x:v>22.5</x:v>
      </x:c>
      <x:c r="Z120" s="39" t="n">
        <x:f>MAX(0,MIN($G120,95)-MAX($F120,91)+1)*$D120/$E120</x:f>
        <x:v>9</x:v>
      </x:c>
      <x:c r="AA120" s="39" t="n">
        <x:f>MAX(0,MIN($G120,100)-MAX($F120,96)+1)*$D120/$E120</x:f>
        <x:v>0</x:v>
      </x:c>
      <x:c r="AB120" s="39" t="n">
        <x:f>MAX(0,MIN($G120,105)-MAX($F120,101)+1)*$D120/$E120</x:f>
        <x:v>0</x:v>
      </x:c>
      <x:c r="AC120" s="39" t="n">
        <x:f>MAX(0,MIN($G120,110)-MAX($F120,106)+1)*$D120/$E120</x:f>
        <x:v>0</x:v>
      </x:c>
      <x:c r="AD120" s="39" t="n">
        <x:f>MAX(0,MIN($G120,115)-MAX($F120,111)+1)*$D120/$E120</x:f>
        <x:v>0</x:v>
      </x:c>
      <x:c r="AE120" s="39" t="n">
        <x:f>MAX(0,MIN($G120,120)-MAX($F120,116)+1)*$D120/$E120</x:f>
        <x:v>0</x:v>
      </x:c>
      <x:c r="AF120" s="39" t="n">
        <x:f>MAX(0,MIN($G120,125)-MAX($F120,121)+1)*$D120/$E120</x:f>
        <x:v>0</x:v>
      </x:c>
      <x:c r="AG120" s="39" t="n">
        <x:f>MAX(0,MIN($G120,130)-MAX($F120,126)+1)*$D120/$E120</x:f>
        <x:v>0</x:v>
      </x:c>
      <x:c r="AH120" s="39" t="n">
        <x:f>MAX(0,MIN($G120,135)-MAX($F120,131)+1)*$D120/$E120</x:f>
        <x:v>0</x:v>
      </x:c>
      <x:c r="AI120" s="39" t="n">
        <x:f>MAX(0,MIN($G120,140)-MAX($F120,136)+1)*$D120/$E120</x:f>
        <x:v>0</x:v>
      </x:c>
      <x:c r="AJ120" s="39" t="n">
        <x:f>MAX(0,MIN($G120,145)-MAX($F120,141)+1)*$D120/$E120</x:f>
        <x:v>0</x:v>
      </x:c>
      <x:c r="AK120" s="39" t="n">
        <x:f>MAX(0,MIN($G120,150)-MAX($F120,146)+1)*$D120/$E120</x:f>
        <x:v>0</x:v>
      </x:c>
      <x:c r="AL120" s="39" t="n">
        <x:f>MAX(0,MIN($G120,155)-MAX($F120,151)+1)*$D120/$E120</x:f>
        <x:v>0</x:v>
      </x:c>
      <x:c r="AM120" s="39" t="n">
        <x:f>MAX(0,MIN($G120,160)-MAX($F120,156)+1)*$D120/$E120</x:f>
        <x:v>0</x:v>
      </x:c>
      <x:c r="AN120" s="39" t="n">
        <x:f>MAX(0,MIN($G120,165)-MAX($F120,161)+1)*$D120/$E120</x:f>
        <x:v>0</x:v>
      </x:c>
      <x:c r="AO120" s="39" t="n">
        <x:f>MAX(0,MIN($G120,170)-MAX($F120,166)+1)*$D120/$E120</x:f>
        <x:v>0</x:v>
      </x:c>
      <x:c r="AP120" s="39" t="n">
        <x:f>MAX(0,MIN($G120,175)-MAX($F120,171)+1)*$D120/$E120</x:f>
        <x:v>0</x:v>
      </x:c>
      <x:c r="AQ120" s="39" t="n">
        <x:f>MAX(0,MIN($G120,180)-MAX($F120,176)+1)*$D120/$E120</x:f>
        <x:v>0</x:v>
      </x:c>
    </x:row>
    <x:row r="121" ht="27" customHeight="1">
      <x:c r="A121" s="9" t="str">
        <x:v>H04</x:v>
      </x:c>
      <x:c r="B121" s="9" t="str">
        <x:f>'Tasks'!P63</x:f>
        <x:v>SEC</x:v>
      </x:c>
      <x:c r="C121" s="9" t="str">
        <x:v>Review</x:v>
      </x:c>
      <x:c r="D121" s="40" t="n">
        <x:f>'Tasks'!Q63</x:f>
        <x:v>6</x:v>
      </x:c>
      <x:c r="E121" s="40" t="n">
        <x:f>'Tasks'!F63</x:f>
        <x:v>8</x:v>
      </x:c>
      <x:c r="F121" s="40" t="n">
        <x:f>'Tasks'!K63</x:f>
        <x:v>85</x:v>
      </x:c>
      <x:c r="G121" s="40" t="n">
        <x:f>'Tasks'!L63</x:f>
        <x:v>92</x:v>
      </x:c>
      <x:c r="H121" s="40" t="n">
        <x:f>MAX(0,MIN($G121,5)-MAX($F121,1)+1)*$D121/$E121</x:f>
        <x:v>0</x:v>
      </x:c>
      <x:c r="I121" s="40" t="n">
        <x:f>MAX(0,MIN($G121,10)-MAX($F121,6)+1)*$D121/$E121</x:f>
        <x:v>0</x:v>
      </x:c>
      <x:c r="J121" s="40" t="n">
        <x:f>MAX(0,MIN($G121,15)-MAX($F121,11)+1)*$D121/$E121</x:f>
        <x:v>0</x:v>
      </x:c>
      <x:c r="K121" s="40" t="n">
        <x:f>MAX(0,MIN($G121,20)-MAX($F121,16)+1)*$D121/$E121</x:f>
        <x:v>0</x:v>
      </x:c>
      <x:c r="L121" s="40" t="n">
        <x:f>MAX(0,MIN($G121,25)-MAX($F121,21)+1)*$D121/$E121</x:f>
        <x:v>0</x:v>
      </x:c>
      <x:c r="M121" s="40" t="n">
        <x:f>MAX(0,MIN($G121,30)-MAX($F121,26)+1)*$D121/$E121</x:f>
        <x:v>0</x:v>
      </x:c>
      <x:c r="N121" s="40" t="n">
        <x:f>MAX(0,MIN($G121,35)-MAX($F121,31)+1)*$D121/$E121</x:f>
        <x:v>0</x:v>
      </x:c>
      <x:c r="O121" s="40" t="n">
        <x:f>MAX(0,MIN($G121,40)-MAX($F121,36)+1)*$D121/$E121</x:f>
        <x:v>0</x:v>
      </x:c>
      <x:c r="P121" s="40" t="n">
        <x:f>MAX(0,MIN($G121,45)-MAX($F121,41)+1)*$D121/$E121</x:f>
        <x:v>0</x:v>
      </x:c>
      <x:c r="Q121" s="40" t="n">
        <x:f>MAX(0,MIN($G121,50)-MAX($F121,46)+1)*$D121/$E121</x:f>
        <x:v>0</x:v>
      </x:c>
      <x:c r="R121" s="40" t="n">
        <x:f>MAX(0,MIN($G121,55)-MAX($F121,51)+1)*$D121/$E121</x:f>
        <x:v>0</x:v>
      </x:c>
      <x:c r="S121" s="40" t="n">
        <x:f>MAX(0,MIN($G121,60)-MAX($F121,56)+1)*$D121/$E121</x:f>
        <x:v>0</x:v>
      </x:c>
      <x:c r="T121" s="40" t="n">
        <x:f>MAX(0,MIN($G121,65)-MAX($F121,61)+1)*$D121/$E121</x:f>
        <x:v>0</x:v>
      </x:c>
      <x:c r="U121" s="40" t="n">
        <x:f>MAX(0,MIN($G121,70)-MAX($F121,66)+1)*$D121/$E121</x:f>
        <x:v>0</x:v>
      </x:c>
      <x:c r="V121" s="40" t="n">
        <x:f>MAX(0,MIN($G121,75)-MAX($F121,71)+1)*$D121/$E121</x:f>
        <x:v>0</x:v>
      </x:c>
      <x:c r="W121" s="40" t="n">
        <x:f>MAX(0,MIN($G121,80)-MAX($F121,76)+1)*$D121/$E121</x:f>
        <x:v>0</x:v>
      </x:c>
      <x:c r="X121" s="40" t="n">
        <x:f>MAX(0,MIN($G121,85)-MAX($F121,81)+1)*$D121/$E121</x:f>
        <x:v>0.75</x:v>
      </x:c>
      <x:c r="Y121" s="40" t="n">
        <x:f>MAX(0,MIN($G121,90)-MAX($F121,86)+1)*$D121/$E121</x:f>
        <x:v>3.75</x:v>
      </x:c>
      <x:c r="Z121" s="40" t="n">
        <x:f>MAX(0,MIN($G121,95)-MAX($F121,91)+1)*$D121/$E121</x:f>
        <x:v>1.5</x:v>
      </x:c>
      <x:c r="AA121" s="40" t="n">
        <x:f>MAX(0,MIN($G121,100)-MAX($F121,96)+1)*$D121/$E121</x:f>
        <x:v>0</x:v>
      </x:c>
      <x:c r="AB121" s="40" t="n">
        <x:f>MAX(0,MIN($G121,105)-MAX($F121,101)+1)*$D121/$E121</x:f>
        <x:v>0</x:v>
      </x:c>
      <x:c r="AC121" s="40" t="n">
        <x:f>MAX(0,MIN($G121,110)-MAX($F121,106)+1)*$D121/$E121</x:f>
        <x:v>0</x:v>
      </x:c>
      <x:c r="AD121" s="40" t="n">
        <x:f>MAX(0,MIN($G121,115)-MAX($F121,111)+1)*$D121/$E121</x:f>
        <x:v>0</x:v>
      </x:c>
      <x:c r="AE121" s="40" t="n">
        <x:f>MAX(0,MIN($G121,120)-MAX($F121,116)+1)*$D121/$E121</x:f>
        <x:v>0</x:v>
      </x:c>
      <x:c r="AF121" s="40" t="n">
        <x:f>MAX(0,MIN($G121,125)-MAX($F121,121)+1)*$D121/$E121</x:f>
        <x:v>0</x:v>
      </x:c>
      <x:c r="AG121" s="40" t="n">
        <x:f>MAX(0,MIN($G121,130)-MAX($F121,126)+1)*$D121/$E121</x:f>
        <x:v>0</x:v>
      </x:c>
      <x:c r="AH121" s="40" t="n">
        <x:f>MAX(0,MIN($G121,135)-MAX($F121,131)+1)*$D121/$E121</x:f>
        <x:v>0</x:v>
      </x:c>
      <x:c r="AI121" s="40" t="n">
        <x:f>MAX(0,MIN($G121,140)-MAX($F121,136)+1)*$D121/$E121</x:f>
        <x:v>0</x:v>
      </x:c>
      <x:c r="AJ121" s="40" t="n">
        <x:f>MAX(0,MIN($G121,145)-MAX($F121,141)+1)*$D121/$E121</x:f>
        <x:v>0</x:v>
      </x:c>
      <x:c r="AK121" s="40" t="n">
        <x:f>MAX(0,MIN($G121,150)-MAX($F121,146)+1)*$D121/$E121</x:f>
        <x:v>0</x:v>
      </x:c>
      <x:c r="AL121" s="40" t="n">
        <x:f>MAX(0,MIN($G121,155)-MAX($F121,151)+1)*$D121/$E121</x:f>
        <x:v>0</x:v>
      </x:c>
      <x:c r="AM121" s="40" t="n">
        <x:f>MAX(0,MIN($G121,160)-MAX($F121,156)+1)*$D121/$E121</x:f>
        <x:v>0</x:v>
      </x:c>
      <x:c r="AN121" s="40" t="n">
        <x:f>MAX(0,MIN($G121,165)-MAX($F121,161)+1)*$D121/$E121</x:f>
        <x:v>0</x:v>
      </x:c>
      <x:c r="AO121" s="40" t="n">
        <x:f>MAX(0,MIN($G121,170)-MAX($F121,166)+1)*$D121/$E121</x:f>
        <x:v>0</x:v>
      </x:c>
      <x:c r="AP121" s="40" t="n">
        <x:f>MAX(0,MIN($G121,175)-MAX($F121,171)+1)*$D121/$E121</x:f>
        <x:v>0</x:v>
      </x:c>
      <x:c r="AQ121" s="40" t="n">
        <x:f>MAX(0,MIN($G121,180)-MAX($F121,176)+1)*$D121/$E121</x:f>
        <x:v>0</x:v>
      </x:c>
    </x:row>
    <x:row r="122" ht="27" customHeight="1">
      <x:c r="A122" s="10" t="str">
        <x:v>I01</x:v>
      </x:c>
      <x:c r="B122" s="10" t="str">
        <x:f>'Tasks'!D64</x:f>
        <x:v>TD</x:v>
      </x:c>
      <x:c r="C122" s="10" t="str">
        <x:v>Owner</x:v>
      </x:c>
      <x:c r="D122" s="39" t="n">
        <x:f>'Tasks'!O64</x:f>
        <x:v>28</x:v>
      </x:c>
      <x:c r="E122" s="39" t="n">
        <x:f>'Tasks'!F64</x:f>
        <x:v>5</x:v>
      </x:c>
      <x:c r="F122" s="39" t="n">
        <x:f>'Tasks'!K64</x:f>
        <x:v>119</x:v>
      </x:c>
      <x:c r="G122" s="39" t="n">
        <x:f>'Tasks'!L64</x:f>
        <x:v>123</x:v>
      </x:c>
      <x:c r="H122" s="39" t="n">
        <x:f>MAX(0,MIN($G122,5)-MAX($F122,1)+1)*$D122/$E122</x:f>
        <x:v>0</x:v>
      </x:c>
      <x:c r="I122" s="39" t="n">
        <x:f>MAX(0,MIN($G122,10)-MAX($F122,6)+1)*$D122/$E122</x:f>
        <x:v>0</x:v>
      </x:c>
      <x:c r="J122" s="39" t="n">
        <x:f>MAX(0,MIN($G122,15)-MAX($F122,11)+1)*$D122/$E122</x:f>
        <x:v>0</x:v>
      </x:c>
      <x:c r="K122" s="39" t="n">
        <x:f>MAX(0,MIN($G122,20)-MAX($F122,16)+1)*$D122/$E122</x:f>
        <x:v>0</x:v>
      </x:c>
      <x:c r="L122" s="39" t="n">
        <x:f>MAX(0,MIN($G122,25)-MAX($F122,21)+1)*$D122/$E122</x:f>
        <x:v>0</x:v>
      </x:c>
      <x:c r="M122" s="39" t="n">
        <x:f>MAX(0,MIN($G122,30)-MAX($F122,26)+1)*$D122/$E122</x:f>
        <x:v>0</x:v>
      </x:c>
      <x:c r="N122" s="39" t="n">
        <x:f>MAX(0,MIN($G122,35)-MAX($F122,31)+1)*$D122/$E122</x:f>
        <x:v>0</x:v>
      </x:c>
      <x:c r="O122" s="39" t="n">
        <x:f>MAX(0,MIN($G122,40)-MAX($F122,36)+1)*$D122/$E122</x:f>
        <x:v>0</x:v>
      </x:c>
      <x:c r="P122" s="39" t="n">
        <x:f>MAX(0,MIN($G122,45)-MAX($F122,41)+1)*$D122/$E122</x:f>
        <x:v>0</x:v>
      </x:c>
      <x:c r="Q122" s="39" t="n">
        <x:f>MAX(0,MIN($G122,50)-MAX($F122,46)+1)*$D122/$E122</x:f>
        <x:v>0</x:v>
      </x:c>
      <x:c r="R122" s="39" t="n">
        <x:f>MAX(0,MIN($G122,55)-MAX($F122,51)+1)*$D122/$E122</x:f>
        <x:v>0</x:v>
      </x:c>
      <x:c r="S122" s="39" t="n">
        <x:f>MAX(0,MIN($G122,60)-MAX($F122,56)+1)*$D122/$E122</x:f>
        <x:v>0</x:v>
      </x:c>
      <x:c r="T122" s="39" t="n">
        <x:f>MAX(0,MIN($G122,65)-MAX($F122,61)+1)*$D122/$E122</x:f>
        <x:v>0</x:v>
      </x:c>
      <x:c r="U122" s="39" t="n">
        <x:f>MAX(0,MIN($G122,70)-MAX($F122,66)+1)*$D122/$E122</x:f>
        <x:v>0</x:v>
      </x:c>
      <x:c r="V122" s="39" t="n">
        <x:f>MAX(0,MIN($G122,75)-MAX($F122,71)+1)*$D122/$E122</x:f>
        <x:v>0</x:v>
      </x:c>
      <x:c r="W122" s="39" t="n">
        <x:f>MAX(0,MIN($G122,80)-MAX($F122,76)+1)*$D122/$E122</x:f>
        <x:v>0</x:v>
      </x:c>
      <x:c r="X122" s="39" t="n">
        <x:f>MAX(0,MIN($G122,85)-MAX($F122,81)+1)*$D122/$E122</x:f>
        <x:v>0</x:v>
      </x:c>
      <x:c r="Y122" s="39" t="n">
        <x:f>MAX(0,MIN($G122,90)-MAX($F122,86)+1)*$D122/$E122</x:f>
        <x:v>0</x:v>
      </x:c>
      <x:c r="Z122" s="39" t="n">
        <x:f>MAX(0,MIN($G122,95)-MAX($F122,91)+1)*$D122/$E122</x:f>
        <x:v>0</x:v>
      </x:c>
      <x:c r="AA122" s="39" t="n">
        <x:f>MAX(0,MIN($G122,100)-MAX($F122,96)+1)*$D122/$E122</x:f>
        <x:v>0</x:v>
      </x:c>
      <x:c r="AB122" s="39" t="n">
        <x:f>MAX(0,MIN($G122,105)-MAX($F122,101)+1)*$D122/$E122</x:f>
        <x:v>0</x:v>
      </x:c>
      <x:c r="AC122" s="39" t="n">
        <x:f>MAX(0,MIN($G122,110)-MAX($F122,106)+1)*$D122/$E122</x:f>
        <x:v>0</x:v>
      </x:c>
      <x:c r="AD122" s="39" t="n">
        <x:f>MAX(0,MIN($G122,115)-MAX($F122,111)+1)*$D122/$E122</x:f>
        <x:v>0</x:v>
      </x:c>
      <x:c r="AE122" s="39" t="n">
        <x:f>MAX(0,MIN($G122,120)-MAX($F122,116)+1)*$D122/$E122</x:f>
        <x:v>11.2</x:v>
      </x:c>
      <x:c r="AF122" s="39" t="n">
        <x:f>MAX(0,MIN($G122,125)-MAX($F122,121)+1)*$D122/$E122</x:f>
        <x:v>16.8</x:v>
      </x:c>
      <x:c r="AG122" s="39" t="n">
        <x:f>MAX(0,MIN($G122,130)-MAX($F122,126)+1)*$D122/$E122</x:f>
        <x:v>0</x:v>
      </x:c>
      <x:c r="AH122" s="39" t="n">
        <x:f>MAX(0,MIN($G122,135)-MAX($F122,131)+1)*$D122/$E122</x:f>
        <x:v>0</x:v>
      </x:c>
      <x:c r="AI122" s="39" t="n">
        <x:f>MAX(0,MIN($G122,140)-MAX($F122,136)+1)*$D122/$E122</x:f>
        <x:v>0</x:v>
      </x:c>
      <x:c r="AJ122" s="39" t="n">
        <x:f>MAX(0,MIN($G122,145)-MAX($F122,141)+1)*$D122/$E122</x:f>
        <x:v>0</x:v>
      </x:c>
      <x:c r="AK122" s="39" t="n">
        <x:f>MAX(0,MIN($G122,150)-MAX($F122,146)+1)*$D122/$E122</x:f>
        <x:v>0</x:v>
      </x:c>
      <x:c r="AL122" s="39" t="n">
        <x:f>MAX(0,MIN($G122,155)-MAX($F122,151)+1)*$D122/$E122</x:f>
        <x:v>0</x:v>
      </x:c>
      <x:c r="AM122" s="39" t="n">
        <x:f>MAX(0,MIN($G122,160)-MAX($F122,156)+1)*$D122/$E122</x:f>
        <x:v>0</x:v>
      </x:c>
      <x:c r="AN122" s="39" t="n">
        <x:f>MAX(0,MIN($G122,165)-MAX($F122,161)+1)*$D122/$E122</x:f>
        <x:v>0</x:v>
      </x:c>
      <x:c r="AO122" s="39" t="n">
        <x:f>MAX(0,MIN($G122,170)-MAX($F122,166)+1)*$D122/$E122</x:f>
        <x:v>0</x:v>
      </x:c>
      <x:c r="AP122" s="39" t="n">
        <x:f>MAX(0,MIN($G122,175)-MAX($F122,171)+1)*$D122/$E122</x:f>
        <x:v>0</x:v>
      </x:c>
      <x:c r="AQ122" s="39" t="n">
        <x:f>MAX(0,MIN($G122,180)-MAX($F122,176)+1)*$D122/$E122</x:f>
        <x:v>0</x:v>
      </x:c>
    </x:row>
    <x:row r="123" ht="27" customHeight="1">
      <x:c r="A123" s="9" t="str">
        <x:v>I01</x:v>
      </x:c>
      <x:c r="B123" s="9" t="str">
        <x:f>'Tasks'!P64</x:f>
        <x:v>EXP</x:v>
      </x:c>
      <x:c r="C123" s="9" t="str">
        <x:v>Review</x:v>
      </x:c>
      <x:c r="D123" s="40" t="n">
        <x:f>'Tasks'!Q64</x:f>
        <x:v>60</x:v>
      </x:c>
      <x:c r="E123" s="40" t="n">
        <x:f>'Tasks'!F64</x:f>
        <x:v>5</x:v>
      </x:c>
      <x:c r="F123" s="40" t="n">
        <x:f>'Tasks'!K64</x:f>
        <x:v>119</x:v>
      </x:c>
      <x:c r="G123" s="40" t="n">
        <x:f>'Tasks'!L64</x:f>
        <x:v>123</x:v>
      </x:c>
      <x:c r="H123" s="40" t="n">
        <x:f>MAX(0,MIN($G123,5)-MAX($F123,1)+1)*$D123/$E123</x:f>
        <x:v>0</x:v>
      </x:c>
      <x:c r="I123" s="40" t="n">
        <x:f>MAX(0,MIN($G123,10)-MAX($F123,6)+1)*$D123/$E123</x:f>
        <x:v>0</x:v>
      </x:c>
      <x:c r="J123" s="40" t="n">
        <x:f>MAX(0,MIN($G123,15)-MAX($F123,11)+1)*$D123/$E123</x:f>
        <x:v>0</x:v>
      </x:c>
      <x:c r="K123" s="40" t="n">
        <x:f>MAX(0,MIN($G123,20)-MAX($F123,16)+1)*$D123/$E123</x:f>
        <x:v>0</x:v>
      </x:c>
      <x:c r="L123" s="40" t="n">
        <x:f>MAX(0,MIN($G123,25)-MAX($F123,21)+1)*$D123/$E123</x:f>
        <x:v>0</x:v>
      </x:c>
      <x:c r="M123" s="40" t="n">
        <x:f>MAX(0,MIN($G123,30)-MAX($F123,26)+1)*$D123/$E123</x:f>
        <x:v>0</x:v>
      </x:c>
      <x:c r="N123" s="40" t="n">
        <x:f>MAX(0,MIN($G123,35)-MAX($F123,31)+1)*$D123/$E123</x:f>
        <x:v>0</x:v>
      </x:c>
      <x:c r="O123" s="40" t="n">
        <x:f>MAX(0,MIN($G123,40)-MAX($F123,36)+1)*$D123/$E123</x:f>
        <x:v>0</x:v>
      </x:c>
      <x:c r="P123" s="40" t="n">
        <x:f>MAX(0,MIN($G123,45)-MAX($F123,41)+1)*$D123/$E123</x:f>
        <x:v>0</x:v>
      </x:c>
      <x:c r="Q123" s="40" t="n">
        <x:f>MAX(0,MIN($G123,50)-MAX($F123,46)+1)*$D123/$E123</x:f>
        <x:v>0</x:v>
      </x:c>
      <x:c r="R123" s="40" t="n">
        <x:f>MAX(0,MIN($G123,55)-MAX($F123,51)+1)*$D123/$E123</x:f>
        <x:v>0</x:v>
      </x:c>
      <x:c r="S123" s="40" t="n">
        <x:f>MAX(0,MIN($G123,60)-MAX($F123,56)+1)*$D123/$E123</x:f>
        <x:v>0</x:v>
      </x:c>
      <x:c r="T123" s="40" t="n">
        <x:f>MAX(0,MIN($G123,65)-MAX($F123,61)+1)*$D123/$E123</x:f>
        <x:v>0</x:v>
      </x:c>
      <x:c r="U123" s="40" t="n">
        <x:f>MAX(0,MIN($G123,70)-MAX($F123,66)+1)*$D123/$E123</x:f>
        <x:v>0</x:v>
      </x:c>
      <x:c r="V123" s="40" t="n">
        <x:f>MAX(0,MIN($G123,75)-MAX($F123,71)+1)*$D123/$E123</x:f>
        <x:v>0</x:v>
      </x:c>
      <x:c r="W123" s="40" t="n">
        <x:f>MAX(0,MIN($G123,80)-MAX($F123,76)+1)*$D123/$E123</x:f>
        <x:v>0</x:v>
      </x:c>
      <x:c r="X123" s="40" t="n">
        <x:f>MAX(0,MIN($G123,85)-MAX($F123,81)+1)*$D123/$E123</x:f>
        <x:v>0</x:v>
      </x:c>
      <x:c r="Y123" s="40" t="n">
        <x:f>MAX(0,MIN($G123,90)-MAX($F123,86)+1)*$D123/$E123</x:f>
        <x:v>0</x:v>
      </x:c>
      <x:c r="Z123" s="40" t="n">
        <x:f>MAX(0,MIN($G123,95)-MAX($F123,91)+1)*$D123/$E123</x:f>
        <x:v>0</x:v>
      </x:c>
      <x:c r="AA123" s="40" t="n">
        <x:f>MAX(0,MIN($G123,100)-MAX($F123,96)+1)*$D123/$E123</x:f>
        <x:v>0</x:v>
      </x:c>
      <x:c r="AB123" s="40" t="n">
        <x:f>MAX(0,MIN($G123,105)-MAX($F123,101)+1)*$D123/$E123</x:f>
        <x:v>0</x:v>
      </x:c>
      <x:c r="AC123" s="40" t="n">
        <x:f>MAX(0,MIN($G123,110)-MAX($F123,106)+1)*$D123/$E123</x:f>
        <x:v>0</x:v>
      </x:c>
      <x:c r="AD123" s="40" t="n">
        <x:f>MAX(0,MIN($G123,115)-MAX($F123,111)+1)*$D123/$E123</x:f>
        <x:v>0</x:v>
      </x:c>
      <x:c r="AE123" s="40" t="n">
        <x:f>MAX(0,MIN($G123,120)-MAX($F123,116)+1)*$D123/$E123</x:f>
        <x:v>24</x:v>
      </x:c>
      <x:c r="AF123" s="40" t="n">
        <x:f>MAX(0,MIN($G123,125)-MAX($F123,121)+1)*$D123/$E123</x:f>
        <x:v>36</x:v>
      </x:c>
      <x:c r="AG123" s="40" t="n">
        <x:f>MAX(0,MIN($G123,130)-MAX($F123,126)+1)*$D123/$E123</x:f>
        <x:v>0</x:v>
      </x:c>
      <x:c r="AH123" s="40" t="n">
        <x:f>MAX(0,MIN($G123,135)-MAX($F123,131)+1)*$D123/$E123</x:f>
        <x:v>0</x:v>
      </x:c>
      <x:c r="AI123" s="40" t="n">
        <x:f>MAX(0,MIN($G123,140)-MAX($F123,136)+1)*$D123/$E123</x:f>
        <x:v>0</x:v>
      </x:c>
      <x:c r="AJ123" s="40" t="n">
        <x:f>MAX(0,MIN($G123,145)-MAX($F123,141)+1)*$D123/$E123</x:f>
        <x:v>0</x:v>
      </x:c>
      <x:c r="AK123" s="40" t="n">
        <x:f>MAX(0,MIN($G123,150)-MAX($F123,146)+1)*$D123/$E123</x:f>
        <x:v>0</x:v>
      </x:c>
      <x:c r="AL123" s="40" t="n">
        <x:f>MAX(0,MIN($G123,155)-MAX($F123,151)+1)*$D123/$E123</x:f>
        <x:v>0</x:v>
      </x:c>
      <x:c r="AM123" s="40" t="n">
        <x:f>MAX(0,MIN($G123,160)-MAX($F123,156)+1)*$D123/$E123</x:f>
        <x:v>0</x:v>
      </x:c>
      <x:c r="AN123" s="40" t="n">
        <x:f>MAX(0,MIN($G123,165)-MAX($F123,161)+1)*$D123/$E123</x:f>
        <x:v>0</x:v>
      </x:c>
      <x:c r="AO123" s="40" t="n">
        <x:f>MAX(0,MIN($G123,170)-MAX($F123,166)+1)*$D123/$E123</x:f>
        <x:v>0</x:v>
      </x:c>
      <x:c r="AP123" s="40" t="n">
        <x:f>MAX(0,MIN($G123,175)-MAX($F123,171)+1)*$D123/$E123</x:f>
        <x:v>0</x:v>
      </x:c>
      <x:c r="AQ123" s="40" t="n">
        <x:f>MAX(0,MIN($G123,180)-MAX($F123,176)+1)*$D123/$E123</x:f>
        <x:v>0</x:v>
      </x:c>
    </x:row>
    <x:row r="124" ht="27" customHeight="1">
      <x:c r="A124" s="10" t="str">
        <x:v>I02</x:v>
      </x:c>
      <x:c r="B124" s="10" t="str">
        <x:f>'Tasks'!D65</x:f>
        <x:v>SEC</x:v>
      </x:c>
      <x:c r="C124" s="10" t="str">
        <x:v>Owner</x:v>
      </x:c>
      <x:c r="D124" s="39" t="n">
        <x:f>'Tasks'!O65</x:f>
        <x:v>28</x:v>
      </x:c>
      <x:c r="E124" s="39" t="n">
        <x:f>'Tasks'!F65</x:f>
        <x:v>5</x:v>
      </x:c>
      <x:c r="F124" s="39" t="n">
        <x:f>'Tasks'!K65</x:f>
        <x:v>119</x:v>
      </x:c>
      <x:c r="G124" s="39" t="n">
        <x:f>'Tasks'!L65</x:f>
        <x:v>123</x:v>
      </x:c>
      <x:c r="H124" s="39" t="n">
        <x:f>MAX(0,MIN($G124,5)-MAX($F124,1)+1)*$D124/$E124</x:f>
        <x:v>0</x:v>
      </x:c>
      <x:c r="I124" s="39" t="n">
        <x:f>MAX(0,MIN($G124,10)-MAX($F124,6)+1)*$D124/$E124</x:f>
        <x:v>0</x:v>
      </x:c>
      <x:c r="J124" s="39" t="n">
        <x:f>MAX(0,MIN($G124,15)-MAX($F124,11)+1)*$D124/$E124</x:f>
        <x:v>0</x:v>
      </x:c>
      <x:c r="K124" s="39" t="n">
        <x:f>MAX(0,MIN($G124,20)-MAX($F124,16)+1)*$D124/$E124</x:f>
        <x:v>0</x:v>
      </x:c>
      <x:c r="L124" s="39" t="n">
        <x:f>MAX(0,MIN($G124,25)-MAX($F124,21)+1)*$D124/$E124</x:f>
        <x:v>0</x:v>
      </x:c>
      <x:c r="M124" s="39" t="n">
        <x:f>MAX(0,MIN($G124,30)-MAX($F124,26)+1)*$D124/$E124</x:f>
        <x:v>0</x:v>
      </x:c>
      <x:c r="N124" s="39" t="n">
        <x:f>MAX(0,MIN($G124,35)-MAX($F124,31)+1)*$D124/$E124</x:f>
        <x:v>0</x:v>
      </x:c>
      <x:c r="O124" s="39" t="n">
        <x:f>MAX(0,MIN($G124,40)-MAX($F124,36)+1)*$D124/$E124</x:f>
        <x:v>0</x:v>
      </x:c>
      <x:c r="P124" s="39" t="n">
        <x:f>MAX(0,MIN($G124,45)-MAX($F124,41)+1)*$D124/$E124</x:f>
        <x:v>0</x:v>
      </x:c>
      <x:c r="Q124" s="39" t="n">
        <x:f>MAX(0,MIN($G124,50)-MAX($F124,46)+1)*$D124/$E124</x:f>
        <x:v>0</x:v>
      </x:c>
      <x:c r="R124" s="39" t="n">
        <x:f>MAX(0,MIN($G124,55)-MAX($F124,51)+1)*$D124/$E124</x:f>
        <x:v>0</x:v>
      </x:c>
      <x:c r="S124" s="39" t="n">
        <x:f>MAX(0,MIN($G124,60)-MAX($F124,56)+1)*$D124/$E124</x:f>
        <x:v>0</x:v>
      </x:c>
      <x:c r="T124" s="39" t="n">
        <x:f>MAX(0,MIN($G124,65)-MAX($F124,61)+1)*$D124/$E124</x:f>
        <x:v>0</x:v>
      </x:c>
      <x:c r="U124" s="39" t="n">
        <x:f>MAX(0,MIN($G124,70)-MAX($F124,66)+1)*$D124/$E124</x:f>
        <x:v>0</x:v>
      </x:c>
      <x:c r="V124" s="39" t="n">
        <x:f>MAX(0,MIN($G124,75)-MAX($F124,71)+1)*$D124/$E124</x:f>
        <x:v>0</x:v>
      </x:c>
      <x:c r="W124" s="39" t="n">
        <x:f>MAX(0,MIN($G124,80)-MAX($F124,76)+1)*$D124/$E124</x:f>
        <x:v>0</x:v>
      </x:c>
      <x:c r="X124" s="39" t="n">
        <x:f>MAX(0,MIN($G124,85)-MAX($F124,81)+1)*$D124/$E124</x:f>
        <x:v>0</x:v>
      </x:c>
      <x:c r="Y124" s="39" t="n">
        <x:f>MAX(0,MIN($G124,90)-MAX($F124,86)+1)*$D124/$E124</x:f>
        <x:v>0</x:v>
      </x:c>
      <x:c r="Z124" s="39" t="n">
        <x:f>MAX(0,MIN($G124,95)-MAX($F124,91)+1)*$D124/$E124</x:f>
        <x:v>0</x:v>
      </x:c>
      <x:c r="AA124" s="39" t="n">
        <x:f>MAX(0,MIN($G124,100)-MAX($F124,96)+1)*$D124/$E124</x:f>
        <x:v>0</x:v>
      </x:c>
      <x:c r="AB124" s="39" t="n">
        <x:f>MAX(0,MIN($G124,105)-MAX($F124,101)+1)*$D124/$E124</x:f>
        <x:v>0</x:v>
      </x:c>
      <x:c r="AC124" s="39" t="n">
        <x:f>MAX(0,MIN($G124,110)-MAX($F124,106)+1)*$D124/$E124</x:f>
        <x:v>0</x:v>
      </x:c>
      <x:c r="AD124" s="39" t="n">
        <x:f>MAX(0,MIN($G124,115)-MAX($F124,111)+1)*$D124/$E124</x:f>
        <x:v>0</x:v>
      </x:c>
      <x:c r="AE124" s="39" t="n">
        <x:f>MAX(0,MIN($G124,120)-MAX($F124,116)+1)*$D124/$E124</x:f>
        <x:v>11.2</x:v>
      </x:c>
      <x:c r="AF124" s="39" t="n">
        <x:f>MAX(0,MIN($G124,125)-MAX($F124,121)+1)*$D124/$E124</x:f>
        <x:v>16.8</x:v>
      </x:c>
      <x:c r="AG124" s="39" t="n">
        <x:f>MAX(0,MIN($G124,130)-MAX($F124,126)+1)*$D124/$E124</x:f>
        <x:v>0</x:v>
      </x:c>
      <x:c r="AH124" s="39" t="n">
        <x:f>MAX(0,MIN($G124,135)-MAX($F124,131)+1)*$D124/$E124</x:f>
        <x:v>0</x:v>
      </x:c>
      <x:c r="AI124" s="39" t="n">
        <x:f>MAX(0,MIN($G124,140)-MAX($F124,136)+1)*$D124/$E124</x:f>
        <x:v>0</x:v>
      </x:c>
      <x:c r="AJ124" s="39" t="n">
        <x:f>MAX(0,MIN($G124,145)-MAX($F124,141)+1)*$D124/$E124</x:f>
        <x:v>0</x:v>
      </x:c>
      <x:c r="AK124" s="39" t="n">
        <x:f>MAX(0,MIN($G124,150)-MAX($F124,146)+1)*$D124/$E124</x:f>
        <x:v>0</x:v>
      </x:c>
      <x:c r="AL124" s="39" t="n">
        <x:f>MAX(0,MIN($G124,155)-MAX($F124,151)+1)*$D124/$E124</x:f>
        <x:v>0</x:v>
      </x:c>
      <x:c r="AM124" s="39" t="n">
        <x:f>MAX(0,MIN($G124,160)-MAX($F124,156)+1)*$D124/$E124</x:f>
        <x:v>0</x:v>
      </x:c>
      <x:c r="AN124" s="39" t="n">
        <x:f>MAX(0,MIN($G124,165)-MAX($F124,161)+1)*$D124/$E124</x:f>
        <x:v>0</x:v>
      </x:c>
      <x:c r="AO124" s="39" t="n">
        <x:f>MAX(0,MIN($G124,170)-MAX($F124,166)+1)*$D124/$E124</x:f>
        <x:v>0</x:v>
      </x:c>
      <x:c r="AP124" s="39" t="n">
        <x:f>MAX(0,MIN($G124,175)-MAX($F124,171)+1)*$D124/$E124</x:f>
        <x:v>0</x:v>
      </x:c>
      <x:c r="AQ124" s="39" t="n">
        <x:f>MAX(0,MIN($G124,180)-MAX($F124,176)+1)*$D124/$E124</x:f>
        <x:v>0</x:v>
      </x:c>
    </x:row>
    <x:row r="125" ht="27" customHeight="1">
      <x:c r="A125" s="9" t="str">
        <x:v>I02</x:v>
      </x:c>
      <x:c r="B125" s="9" t="str">
        <x:f>'Tasks'!P65</x:f>
        <x:v>OPS</x:v>
      </x:c>
      <x:c r="C125" s="9" t="str">
        <x:v>Review</x:v>
      </x:c>
      <x:c r="D125" s="40" t="n">
        <x:f>'Tasks'!Q65</x:f>
        <x:v>10</x:v>
      </x:c>
      <x:c r="E125" s="40" t="n">
        <x:f>'Tasks'!F65</x:f>
        <x:v>5</x:v>
      </x:c>
      <x:c r="F125" s="40" t="n">
        <x:f>'Tasks'!K65</x:f>
        <x:v>119</x:v>
      </x:c>
      <x:c r="G125" s="40" t="n">
        <x:f>'Tasks'!L65</x:f>
        <x:v>123</x:v>
      </x:c>
      <x:c r="H125" s="40" t="n">
        <x:f>MAX(0,MIN($G125,5)-MAX($F125,1)+1)*$D125/$E125</x:f>
        <x:v>0</x:v>
      </x:c>
      <x:c r="I125" s="40" t="n">
        <x:f>MAX(0,MIN($G125,10)-MAX($F125,6)+1)*$D125/$E125</x:f>
        <x:v>0</x:v>
      </x:c>
      <x:c r="J125" s="40" t="n">
        <x:f>MAX(0,MIN($G125,15)-MAX($F125,11)+1)*$D125/$E125</x:f>
        <x:v>0</x:v>
      </x:c>
      <x:c r="K125" s="40" t="n">
        <x:f>MAX(0,MIN($G125,20)-MAX($F125,16)+1)*$D125/$E125</x:f>
        <x:v>0</x:v>
      </x:c>
      <x:c r="L125" s="40" t="n">
        <x:f>MAX(0,MIN($G125,25)-MAX($F125,21)+1)*$D125/$E125</x:f>
        <x:v>0</x:v>
      </x:c>
      <x:c r="M125" s="40" t="n">
        <x:f>MAX(0,MIN($G125,30)-MAX($F125,26)+1)*$D125/$E125</x:f>
        <x:v>0</x:v>
      </x:c>
      <x:c r="N125" s="40" t="n">
        <x:f>MAX(0,MIN($G125,35)-MAX($F125,31)+1)*$D125/$E125</x:f>
        <x:v>0</x:v>
      </x:c>
      <x:c r="O125" s="40" t="n">
        <x:f>MAX(0,MIN($G125,40)-MAX($F125,36)+1)*$D125/$E125</x:f>
        <x:v>0</x:v>
      </x:c>
      <x:c r="P125" s="40" t="n">
        <x:f>MAX(0,MIN($G125,45)-MAX($F125,41)+1)*$D125/$E125</x:f>
        <x:v>0</x:v>
      </x:c>
      <x:c r="Q125" s="40" t="n">
        <x:f>MAX(0,MIN($G125,50)-MAX($F125,46)+1)*$D125/$E125</x:f>
        <x:v>0</x:v>
      </x:c>
      <x:c r="R125" s="40" t="n">
        <x:f>MAX(0,MIN($G125,55)-MAX($F125,51)+1)*$D125/$E125</x:f>
        <x:v>0</x:v>
      </x:c>
      <x:c r="S125" s="40" t="n">
        <x:f>MAX(0,MIN($G125,60)-MAX($F125,56)+1)*$D125/$E125</x:f>
        <x:v>0</x:v>
      </x:c>
      <x:c r="T125" s="40" t="n">
        <x:f>MAX(0,MIN($G125,65)-MAX($F125,61)+1)*$D125/$E125</x:f>
        <x:v>0</x:v>
      </x:c>
      <x:c r="U125" s="40" t="n">
        <x:f>MAX(0,MIN($G125,70)-MAX($F125,66)+1)*$D125/$E125</x:f>
        <x:v>0</x:v>
      </x:c>
      <x:c r="V125" s="40" t="n">
        <x:f>MAX(0,MIN($G125,75)-MAX($F125,71)+1)*$D125/$E125</x:f>
        <x:v>0</x:v>
      </x:c>
      <x:c r="W125" s="40" t="n">
        <x:f>MAX(0,MIN($G125,80)-MAX($F125,76)+1)*$D125/$E125</x:f>
        <x:v>0</x:v>
      </x:c>
      <x:c r="X125" s="40" t="n">
        <x:f>MAX(0,MIN($G125,85)-MAX($F125,81)+1)*$D125/$E125</x:f>
        <x:v>0</x:v>
      </x:c>
      <x:c r="Y125" s="40" t="n">
        <x:f>MAX(0,MIN($G125,90)-MAX($F125,86)+1)*$D125/$E125</x:f>
        <x:v>0</x:v>
      </x:c>
      <x:c r="Z125" s="40" t="n">
        <x:f>MAX(0,MIN($G125,95)-MAX($F125,91)+1)*$D125/$E125</x:f>
        <x:v>0</x:v>
      </x:c>
      <x:c r="AA125" s="40" t="n">
        <x:f>MAX(0,MIN($G125,100)-MAX($F125,96)+1)*$D125/$E125</x:f>
        <x:v>0</x:v>
      </x:c>
      <x:c r="AB125" s="40" t="n">
        <x:f>MAX(0,MIN($G125,105)-MAX($F125,101)+1)*$D125/$E125</x:f>
        <x:v>0</x:v>
      </x:c>
      <x:c r="AC125" s="40" t="n">
        <x:f>MAX(0,MIN($G125,110)-MAX($F125,106)+1)*$D125/$E125</x:f>
        <x:v>0</x:v>
      </x:c>
      <x:c r="AD125" s="40" t="n">
        <x:f>MAX(0,MIN($G125,115)-MAX($F125,111)+1)*$D125/$E125</x:f>
        <x:v>0</x:v>
      </x:c>
      <x:c r="AE125" s="40" t="n">
        <x:f>MAX(0,MIN($G125,120)-MAX($F125,116)+1)*$D125/$E125</x:f>
        <x:v>4</x:v>
      </x:c>
      <x:c r="AF125" s="40" t="n">
        <x:f>MAX(0,MIN($G125,125)-MAX($F125,121)+1)*$D125/$E125</x:f>
        <x:v>6</x:v>
      </x:c>
      <x:c r="AG125" s="40" t="n">
        <x:f>MAX(0,MIN($G125,130)-MAX($F125,126)+1)*$D125/$E125</x:f>
        <x:v>0</x:v>
      </x:c>
      <x:c r="AH125" s="40" t="n">
        <x:f>MAX(0,MIN($G125,135)-MAX($F125,131)+1)*$D125/$E125</x:f>
        <x:v>0</x:v>
      </x:c>
      <x:c r="AI125" s="40" t="n">
        <x:f>MAX(0,MIN($G125,140)-MAX($F125,136)+1)*$D125/$E125</x:f>
        <x:v>0</x:v>
      </x:c>
      <x:c r="AJ125" s="40" t="n">
        <x:f>MAX(0,MIN($G125,145)-MAX($F125,141)+1)*$D125/$E125</x:f>
        <x:v>0</x:v>
      </x:c>
      <x:c r="AK125" s="40" t="n">
        <x:f>MAX(0,MIN($G125,150)-MAX($F125,146)+1)*$D125/$E125</x:f>
        <x:v>0</x:v>
      </x:c>
      <x:c r="AL125" s="40" t="n">
        <x:f>MAX(0,MIN($G125,155)-MAX($F125,151)+1)*$D125/$E125</x:f>
        <x:v>0</x:v>
      </x:c>
      <x:c r="AM125" s="40" t="n">
        <x:f>MAX(0,MIN($G125,160)-MAX($F125,156)+1)*$D125/$E125</x:f>
        <x:v>0</x:v>
      </x:c>
      <x:c r="AN125" s="40" t="n">
        <x:f>MAX(0,MIN($G125,165)-MAX($F125,161)+1)*$D125/$E125</x:f>
        <x:v>0</x:v>
      </x:c>
      <x:c r="AO125" s="40" t="n">
        <x:f>MAX(0,MIN($G125,170)-MAX($F125,166)+1)*$D125/$E125</x:f>
        <x:v>0</x:v>
      </x:c>
      <x:c r="AP125" s="40" t="n">
        <x:f>MAX(0,MIN($G125,175)-MAX($F125,171)+1)*$D125/$E125</x:f>
        <x:v>0</x:v>
      </x:c>
      <x:c r="AQ125" s="40" t="n">
        <x:f>MAX(0,MIN($G125,180)-MAX($F125,176)+1)*$D125/$E125</x:f>
        <x:v>0</x:v>
      </x:c>
    </x:row>
    <x:row r="126" ht="27" customHeight="1">
      <x:c r="A126" s="10" t="str">
        <x:v>I03</x:v>
      </x:c>
      <x:c r="B126" s="10" t="str">
        <x:f>'Tasks'!D66</x:f>
        <x:v>HP</x:v>
      </x:c>
      <x:c r="C126" s="10" t="str">
        <x:v>Owner</x:v>
      </x:c>
      <x:c r="D126" s="39" t="n">
        <x:f>'Tasks'!O66</x:f>
        <x:v>20</x:v>
      </x:c>
      <x:c r="E126" s="39" t="n">
        <x:f>'Tasks'!F66</x:f>
        <x:v>5</x:v>
      </x:c>
      <x:c r="F126" s="39" t="n">
        <x:f>'Tasks'!K66</x:f>
        <x:v>119</x:v>
      </x:c>
      <x:c r="G126" s="39" t="n">
        <x:f>'Tasks'!L66</x:f>
        <x:v>123</x:v>
      </x:c>
      <x:c r="H126" s="39" t="n">
        <x:f>MAX(0,MIN($G126,5)-MAX($F126,1)+1)*$D126/$E126</x:f>
        <x:v>0</x:v>
      </x:c>
      <x:c r="I126" s="39" t="n">
        <x:f>MAX(0,MIN($G126,10)-MAX($F126,6)+1)*$D126/$E126</x:f>
        <x:v>0</x:v>
      </x:c>
      <x:c r="J126" s="39" t="n">
        <x:f>MAX(0,MIN($G126,15)-MAX($F126,11)+1)*$D126/$E126</x:f>
        <x:v>0</x:v>
      </x:c>
      <x:c r="K126" s="39" t="n">
        <x:f>MAX(0,MIN($G126,20)-MAX($F126,16)+1)*$D126/$E126</x:f>
        <x:v>0</x:v>
      </x:c>
      <x:c r="L126" s="39" t="n">
        <x:f>MAX(0,MIN($G126,25)-MAX($F126,21)+1)*$D126/$E126</x:f>
        <x:v>0</x:v>
      </x:c>
      <x:c r="M126" s="39" t="n">
        <x:f>MAX(0,MIN($G126,30)-MAX($F126,26)+1)*$D126/$E126</x:f>
        <x:v>0</x:v>
      </x:c>
      <x:c r="N126" s="39" t="n">
        <x:f>MAX(0,MIN($G126,35)-MAX($F126,31)+1)*$D126/$E126</x:f>
        <x:v>0</x:v>
      </x:c>
      <x:c r="O126" s="39" t="n">
        <x:f>MAX(0,MIN($G126,40)-MAX($F126,36)+1)*$D126/$E126</x:f>
        <x:v>0</x:v>
      </x:c>
      <x:c r="P126" s="39" t="n">
        <x:f>MAX(0,MIN($G126,45)-MAX($F126,41)+1)*$D126/$E126</x:f>
        <x:v>0</x:v>
      </x:c>
      <x:c r="Q126" s="39" t="n">
        <x:f>MAX(0,MIN($G126,50)-MAX($F126,46)+1)*$D126/$E126</x:f>
        <x:v>0</x:v>
      </x:c>
      <x:c r="R126" s="39" t="n">
        <x:f>MAX(0,MIN($G126,55)-MAX($F126,51)+1)*$D126/$E126</x:f>
        <x:v>0</x:v>
      </x:c>
      <x:c r="S126" s="39" t="n">
        <x:f>MAX(0,MIN($G126,60)-MAX($F126,56)+1)*$D126/$E126</x:f>
        <x:v>0</x:v>
      </x:c>
      <x:c r="T126" s="39" t="n">
        <x:f>MAX(0,MIN($G126,65)-MAX($F126,61)+1)*$D126/$E126</x:f>
        <x:v>0</x:v>
      </x:c>
      <x:c r="U126" s="39" t="n">
        <x:f>MAX(0,MIN($G126,70)-MAX($F126,66)+1)*$D126/$E126</x:f>
        <x:v>0</x:v>
      </x:c>
      <x:c r="V126" s="39" t="n">
        <x:f>MAX(0,MIN($G126,75)-MAX($F126,71)+1)*$D126/$E126</x:f>
        <x:v>0</x:v>
      </x:c>
      <x:c r="W126" s="39" t="n">
        <x:f>MAX(0,MIN($G126,80)-MAX($F126,76)+1)*$D126/$E126</x:f>
        <x:v>0</x:v>
      </x:c>
      <x:c r="X126" s="39" t="n">
        <x:f>MAX(0,MIN($G126,85)-MAX($F126,81)+1)*$D126/$E126</x:f>
        <x:v>0</x:v>
      </x:c>
      <x:c r="Y126" s="39" t="n">
        <x:f>MAX(0,MIN($G126,90)-MAX($F126,86)+1)*$D126/$E126</x:f>
        <x:v>0</x:v>
      </x:c>
      <x:c r="Z126" s="39" t="n">
        <x:f>MAX(0,MIN($G126,95)-MAX($F126,91)+1)*$D126/$E126</x:f>
        <x:v>0</x:v>
      </x:c>
      <x:c r="AA126" s="39" t="n">
        <x:f>MAX(0,MIN($G126,100)-MAX($F126,96)+1)*$D126/$E126</x:f>
        <x:v>0</x:v>
      </x:c>
      <x:c r="AB126" s="39" t="n">
        <x:f>MAX(0,MIN($G126,105)-MAX($F126,101)+1)*$D126/$E126</x:f>
        <x:v>0</x:v>
      </x:c>
      <x:c r="AC126" s="39" t="n">
        <x:f>MAX(0,MIN($G126,110)-MAX($F126,106)+1)*$D126/$E126</x:f>
        <x:v>0</x:v>
      </x:c>
      <x:c r="AD126" s="39" t="n">
        <x:f>MAX(0,MIN($G126,115)-MAX($F126,111)+1)*$D126/$E126</x:f>
        <x:v>0</x:v>
      </x:c>
      <x:c r="AE126" s="39" t="n">
        <x:f>MAX(0,MIN($G126,120)-MAX($F126,116)+1)*$D126/$E126</x:f>
        <x:v>8</x:v>
      </x:c>
      <x:c r="AF126" s="39" t="n">
        <x:f>MAX(0,MIN($G126,125)-MAX($F126,121)+1)*$D126/$E126</x:f>
        <x:v>12</x:v>
      </x:c>
      <x:c r="AG126" s="39" t="n">
        <x:f>MAX(0,MIN($G126,130)-MAX($F126,126)+1)*$D126/$E126</x:f>
        <x:v>0</x:v>
      </x:c>
      <x:c r="AH126" s="39" t="n">
        <x:f>MAX(0,MIN($G126,135)-MAX($F126,131)+1)*$D126/$E126</x:f>
        <x:v>0</x:v>
      </x:c>
      <x:c r="AI126" s="39" t="n">
        <x:f>MAX(0,MIN($G126,140)-MAX($F126,136)+1)*$D126/$E126</x:f>
        <x:v>0</x:v>
      </x:c>
      <x:c r="AJ126" s="39" t="n">
        <x:f>MAX(0,MIN($G126,145)-MAX($F126,141)+1)*$D126/$E126</x:f>
        <x:v>0</x:v>
      </x:c>
      <x:c r="AK126" s="39" t="n">
        <x:f>MAX(0,MIN($G126,150)-MAX($F126,146)+1)*$D126/$E126</x:f>
        <x:v>0</x:v>
      </x:c>
      <x:c r="AL126" s="39" t="n">
        <x:f>MAX(0,MIN($G126,155)-MAX($F126,151)+1)*$D126/$E126</x:f>
        <x:v>0</x:v>
      </x:c>
      <x:c r="AM126" s="39" t="n">
        <x:f>MAX(0,MIN($G126,160)-MAX($F126,156)+1)*$D126/$E126</x:f>
        <x:v>0</x:v>
      </x:c>
      <x:c r="AN126" s="39" t="n">
        <x:f>MAX(0,MIN($G126,165)-MAX($F126,161)+1)*$D126/$E126</x:f>
        <x:v>0</x:v>
      </x:c>
      <x:c r="AO126" s="39" t="n">
        <x:f>MAX(0,MIN($G126,170)-MAX($F126,166)+1)*$D126/$E126</x:f>
        <x:v>0</x:v>
      </x:c>
      <x:c r="AP126" s="39" t="n">
        <x:f>MAX(0,MIN($G126,175)-MAX($F126,171)+1)*$D126/$E126</x:f>
        <x:v>0</x:v>
      </x:c>
      <x:c r="AQ126" s="39" t="n">
        <x:f>MAX(0,MIN($G126,180)-MAX($F126,176)+1)*$D126/$E126</x:f>
        <x:v>0</x:v>
      </x:c>
    </x:row>
    <x:row r="127" ht="27" customHeight="1">
      <x:c r="A127" s="9" t="str">
        <x:v>I03</x:v>
      </x:c>
      <x:c r="B127" s="9" t="str">
        <x:f>'Tasks'!P66</x:f>
        <x:v>CD</x:v>
      </x:c>
      <x:c r="C127" s="9" t="str">
        <x:v>Review</x:v>
      </x:c>
      <x:c r="D127" s="40" t="n">
        <x:f>'Tasks'!Q66</x:f>
        <x:v>8</x:v>
      </x:c>
      <x:c r="E127" s="40" t="n">
        <x:f>'Tasks'!F66</x:f>
        <x:v>5</x:v>
      </x:c>
      <x:c r="F127" s="40" t="n">
        <x:f>'Tasks'!K66</x:f>
        <x:v>119</x:v>
      </x:c>
      <x:c r="G127" s="40" t="n">
        <x:f>'Tasks'!L66</x:f>
        <x:v>123</x:v>
      </x:c>
      <x:c r="H127" s="40" t="n">
        <x:f>MAX(0,MIN($G127,5)-MAX($F127,1)+1)*$D127/$E127</x:f>
        <x:v>0</x:v>
      </x:c>
      <x:c r="I127" s="40" t="n">
        <x:f>MAX(0,MIN($G127,10)-MAX($F127,6)+1)*$D127/$E127</x:f>
        <x:v>0</x:v>
      </x:c>
      <x:c r="J127" s="40" t="n">
        <x:f>MAX(0,MIN($G127,15)-MAX($F127,11)+1)*$D127/$E127</x:f>
        <x:v>0</x:v>
      </x:c>
      <x:c r="K127" s="40" t="n">
        <x:f>MAX(0,MIN($G127,20)-MAX($F127,16)+1)*$D127/$E127</x:f>
        <x:v>0</x:v>
      </x:c>
      <x:c r="L127" s="40" t="n">
        <x:f>MAX(0,MIN($G127,25)-MAX($F127,21)+1)*$D127/$E127</x:f>
        <x:v>0</x:v>
      </x:c>
      <x:c r="M127" s="40" t="n">
        <x:f>MAX(0,MIN($G127,30)-MAX($F127,26)+1)*$D127/$E127</x:f>
        <x:v>0</x:v>
      </x:c>
      <x:c r="N127" s="40" t="n">
        <x:f>MAX(0,MIN($G127,35)-MAX($F127,31)+1)*$D127/$E127</x:f>
        <x:v>0</x:v>
      </x:c>
      <x:c r="O127" s="40" t="n">
        <x:f>MAX(0,MIN($G127,40)-MAX($F127,36)+1)*$D127/$E127</x:f>
        <x:v>0</x:v>
      </x:c>
      <x:c r="P127" s="40" t="n">
        <x:f>MAX(0,MIN($G127,45)-MAX($F127,41)+1)*$D127/$E127</x:f>
        <x:v>0</x:v>
      </x:c>
      <x:c r="Q127" s="40" t="n">
        <x:f>MAX(0,MIN($G127,50)-MAX($F127,46)+1)*$D127/$E127</x:f>
        <x:v>0</x:v>
      </x:c>
      <x:c r="R127" s="40" t="n">
        <x:f>MAX(0,MIN($G127,55)-MAX($F127,51)+1)*$D127/$E127</x:f>
        <x:v>0</x:v>
      </x:c>
      <x:c r="S127" s="40" t="n">
        <x:f>MAX(0,MIN($G127,60)-MAX($F127,56)+1)*$D127/$E127</x:f>
        <x:v>0</x:v>
      </x:c>
      <x:c r="T127" s="40" t="n">
        <x:f>MAX(0,MIN($G127,65)-MAX($F127,61)+1)*$D127/$E127</x:f>
        <x:v>0</x:v>
      </x:c>
      <x:c r="U127" s="40" t="n">
        <x:f>MAX(0,MIN($G127,70)-MAX($F127,66)+1)*$D127/$E127</x:f>
        <x:v>0</x:v>
      </x:c>
      <x:c r="V127" s="40" t="n">
        <x:f>MAX(0,MIN($G127,75)-MAX($F127,71)+1)*$D127/$E127</x:f>
        <x:v>0</x:v>
      </x:c>
      <x:c r="W127" s="40" t="n">
        <x:f>MAX(0,MIN($G127,80)-MAX($F127,76)+1)*$D127/$E127</x:f>
        <x:v>0</x:v>
      </x:c>
      <x:c r="X127" s="40" t="n">
        <x:f>MAX(0,MIN($G127,85)-MAX($F127,81)+1)*$D127/$E127</x:f>
        <x:v>0</x:v>
      </x:c>
      <x:c r="Y127" s="40" t="n">
        <x:f>MAX(0,MIN($G127,90)-MAX($F127,86)+1)*$D127/$E127</x:f>
        <x:v>0</x:v>
      </x:c>
      <x:c r="Z127" s="40" t="n">
        <x:f>MAX(0,MIN($G127,95)-MAX($F127,91)+1)*$D127/$E127</x:f>
        <x:v>0</x:v>
      </x:c>
      <x:c r="AA127" s="40" t="n">
        <x:f>MAX(0,MIN($G127,100)-MAX($F127,96)+1)*$D127/$E127</x:f>
        <x:v>0</x:v>
      </x:c>
      <x:c r="AB127" s="40" t="n">
        <x:f>MAX(0,MIN($G127,105)-MAX($F127,101)+1)*$D127/$E127</x:f>
        <x:v>0</x:v>
      </x:c>
      <x:c r="AC127" s="40" t="n">
        <x:f>MAX(0,MIN($G127,110)-MAX($F127,106)+1)*$D127/$E127</x:f>
        <x:v>0</x:v>
      </x:c>
      <x:c r="AD127" s="40" t="n">
        <x:f>MAX(0,MIN($G127,115)-MAX($F127,111)+1)*$D127/$E127</x:f>
        <x:v>0</x:v>
      </x:c>
      <x:c r="AE127" s="40" t="n">
        <x:f>MAX(0,MIN($G127,120)-MAX($F127,116)+1)*$D127/$E127</x:f>
        <x:v>3.2</x:v>
      </x:c>
      <x:c r="AF127" s="40" t="n">
        <x:f>MAX(0,MIN($G127,125)-MAX($F127,121)+1)*$D127/$E127</x:f>
        <x:v>4.8</x:v>
      </x:c>
      <x:c r="AG127" s="40" t="n">
        <x:f>MAX(0,MIN($G127,130)-MAX($F127,126)+1)*$D127/$E127</x:f>
        <x:v>0</x:v>
      </x:c>
      <x:c r="AH127" s="40" t="n">
        <x:f>MAX(0,MIN($G127,135)-MAX($F127,131)+1)*$D127/$E127</x:f>
        <x:v>0</x:v>
      </x:c>
      <x:c r="AI127" s="40" t="n">
        <x:f>MAX(0,MIN($G127,140)-MAX($F127,136)+1)*$D127/$E127</x:f>
        <x:v>0</x:v>
      </x:c>
      <x:c r="AJ127" s="40" t="n">
        <x:f>MAX(0,MIN($G127,145)-MAX($F127,141)+1)*$D127/$E127</x:f>
        <x:v>0</x:v>
      </x:c>
      <x:c r="AK127" s="40" t="n">
        <x:f>MAX(0,MIN($G127,150)-MAX($F127,146)+1)*$D127/$E127</x:f>
        <x:v>0</x:v>
      </x:c>
      <x:c r="AL127" s="40" t="n">
        <x:f>MAX(0,MIN($G127,155)-MAX($F127,151)+1)*$D127/$E127</x:f>
        <x:v>0</x:v>
      </x:c>
      <x:c r="AM127" s="40" t="n">
        <x:f>MAX(0,MIN($G127,160)-MAX($F127,156)+1)*$D127/$E127</x:f>
        <x:v>0</x:v>
      </x:c>
      <x:c r="AN127" s="40" t="n">
        <x:f>MAX(0,MIN($G127,165)-MAX($F127,161)+1)*$D127/$E127</x:f>
        <x:v>0</x:v>
      </x:c>
      <x:c r="AO127" s="40" t="n">
        <x:f>MAX(0,MIN($G127,170)-MAX($F127,166)+1)*$D127/$E127</x:f>
        <x:v>0</x:v>
      </x:c>
      <x:c r="AP127" s="40" t="n">
        <x:f>MAX(0,MIN($G127,175)-MAX($F127,171)+1)*$D127/$E127</x:f>
        <x:v>0</x:v>
      </x:c>
      <x:c r="AQ127" s="40" t="n">
        <x:f>MAX(0,MIN($G127,180)-MAX($F127,176)+1)*$D127/$E127</x:f>
        <x:v>0</x:v>
      </x:c>
    </x:row>
    <x:row r="128" ht="27" customHeight="1">
      <x:c r="A128" s="10" t="str">
        <x:v>I04</x:v>
      </x:c>
      <x:c r="B128" s="10" t="str">
        <x:f>'Tasks'!D67</x:f>
        <x:v>AI</x:v>
      </x:c>
      <x:c r="C128" s="10" t="str">
        <x:v>Owner</x:v>
      </x:c>
      <x:c r="D128" s="39" t="n">
        <x:f>'Tasks'!O67</x:f>
        <x:v>30</x:v>
      </x:c>
      <x:c r="E128" s="39" t="n">
        <x:f>'Tasks'!F67</x:f>
        <x:v>6</x:v>
      </x:c>
      <x:c r="F128" s="39" t="n">
        <x:f>'Tasks'!K67</x:f>
        <x:v>124</x:v>
      </x:c>
      <x:c r="G128" s="39" t="n">
        <x:f>'Tasks'!L67</x:f>
        <x:v>129</x:v>
      </x:c>
      <x:c r="H128" s="39" t="n">
        <x:f>MAX(0,MIN($G128,5)-MAX($F128,1)+1)*$D128/$E128</x:f>
        <x:v>0</x:v>
      </x:c>
      <x:c r="I128" s="39" t="n">
        <x:f>MAX(0,MIN($G128,10)-MAX($F128,6)+1)*$D128/$E128</x:f>
        <x:v>0</x:v>
      </x:c>
      <x:c r="J128" s="39" t="n">
        <x:f>MAX(0,MIN($G128,15)-MAX($F128,11)+1)*$D128/$E128</x:f>
        <x:v>0</x:v>
      </x:c>
      <x:c r="K128" s="39" t="n">
        <x:f>MAX(0,MIN($G128,20)-MAX($F128,16)+1)*$D128/$E128</x:f>
        <x:v>0</x:v>
      </x:c>
      <x:c r="L128" s="39" t="n">
        <x:f>MAX(0,MIN($G128,25)-MAX($F128,21)+1)*$D128/$E128</x:f>
        <x:v>0</x:v>
      </x:c>
      <x:c r="M128" s="39" t="n">
        <x:f>MAX(0,MIN($G128,30)-MAX($F128,26)+1)*$D128/$E128</x:f>
        <x:v>0</x:v>
      </x:c>
      <x:c r="N128" s="39" t="n">
        <x:f>MAX(0,MIN($G128,35)-MAX($F128,31)+1)*$D128/$E128</x:f>
        <x:v>0</x:v>
      </x:c>
      <x:c r="O128" s="39" t="n">
        <x:f>MAX(0,MIN($G128,40)-MAX($F128,36)+1)*$D128/$E128</x:f>
        <x:v>0</x:v>
      </x:c>
      <x:c r="P128" s="39" t="n">
        <x:f>MAX(0,MIN($G128,45)-MAX($F128,41)+1)*$D128/$E128</x:f>
        <x:v>0</x:v>
      </x:c>
      <x:c r="Q128" s="39" t="n">
        <x:f>MAX(0,MIN($G128,50)-MAX($F128,46)+1)*$D128/$E128</x:f>
        <x:v>0</x:v>
      </x:c>
      <x:c r="R128" s="39" t="n">
        <x:f>MAX(0,MIN($G128,55)-MAX($F128,51)+1)*$D128/$E128</x:f>
        <x:v>0</x:v>
      </x:c>
      <x:c r="S128" s="39" t="n">
        <x:f>MAX(0,MIN($G128,60)-MAX($F128,56)+1)*$D128/$E128</x:f>
        <x:v>0</x:v>
      </x:c>
      <x:c r="T128" s="39" t="n">
        <x:f>MAX(0,MIN($G128,65)-MAX($F128,61)+1)*$D128/$E128</x:f>
        <x:v>0</x:v>
      </x:c>
      <x:c r="U128" s="39" t="n">
        <x:f>MAX(0,MIN($G128,70)-MAX($F128,66)+1)*$D128/$E128</x:f>
        <x:v>0</x:v>
      </x:c>
      <x:c r="V128" s="39" t="n">
        <x:f>MAX(0,MIN($G128,75)-MAX($F128,71)+1)*$D128/$E128</x:f>
        <x:v>0</x:v>
      </x:c>
      <x:c r="W128" s="39" t="n">
        <x:f>MAX(0,MIN($G128,80)-MAX($F128,76)+1)*$D128/$E128</x:f>
        <x:v>0</x:v>
      </x:c>
      <x:c r="X128" s="39" t="n">
        <x:f>MAX(0,MIN($G128,85)-MAX($F128,81)+1)*$D128/$E128</x:f>
        <x:v>0</x:v>
      </x:c>
      <x:c r="Y128" s="39" t="n">
        <x:f>MAX(0,MIN($G128,90)-MAX($F128,86)+1)*$D128/$E128</x:f>
        <x:v>0</x:v>
      </x:c>
      <x:c r="Z128" s="39" t="n">
        <x:f>MAX(0,MIN($G128,95)-MAX($F128,91)+1)*$D128/$E128</x:f>
        <x:v>0</x:v>
      </x:c>
      <x:c r="AA128" s="39" t="n">
        <x:f>MAX(0,MIN($G128,100)-MAX($F128,96)+1)*$D128/$E128</x:f>
        <x:v>0</x:v>
      </x:c>
      <x:c r="AB128" s="39" t="n">
        <x:f>MAX(0,MIN($G128,105)-MAX($F128,101)+1)*$D128/$E128</x:f>
        <x:v>0</x:v>
      </x:c>
      <x:c r="AC128" s="39" t="n">
        <x:f>MAX(0,MIN($G128,110)-MAX($F128,106)+1)*$D128/$E128</x:f>
        <x:v>0</x:v>
      </x:c>
      <x:c r="AD128" s="39" t="n">
        <x:f>MAX(0,MIN($G128,115)-MAX($F128,111)+1)*$D128/$E128</x:f>
        <x:v>0</x:v>
      </x:c>
      <x:c r="AE128" s="39" t="n">
        <x:f>MAX(0,MIN($G128,120)-MAX($F128,116)+1)*$D128/$E128</x:f>
        <x:v>0</x:v>
      </x:c>
      <x:c r="AF128" s="39" t="n">
        <x:f>MAX(0,MIN($G128,125)-MAX($F128,121)+1)*$D128/$E128</x:f>
        <x:v>10</x:v>
      </x:c>
      <x:c r="AG128" s="39" t="n">
        <x:f>MAX(0,MIN($G128,130)-MAX($F128,126)+1)*$D128/$E128</x:f>
        <x:v>20</x:v>
      </x:c>
      <x:c r="AH128" s="39" t="n">
        <x:f>MAX(0,MIN($G128,135)-MAX($F128,131)+1)*$D128/$E128</x:f>
        <x:v>0</x:v>
      </x:c>
      <x:c r="AI128" s="39" t="n">
        <x:f>MAX(0,MIN($G128,140)-MAX($F128,136)+1)*$D128/$E128</x:f>
        <x:v>0</x:v>
      </x:c>
      <x:c r="AJ128" s="39" t="n">
        <x:f>MAX(0,MIN($G128,145)-MAX($F128,141)+1)*$D128/$E128</x:f>
        <x:v>0</x:v>
      </x:c>
      <x:c r="AK128" s="39" t="n">
        <x:f>MAX(0,MIN($G128,150)-MAX($F128,146)+1)*$D128/$E128</x:f>
        <x:v>0</x:v>
      </x:c>
      <x:c r="AL128" s="39" t="n">
        <x:f>MAX(0,MIN($G128,155)-MAX($F128,151)+1)*$D128/$E128</x:f>
        <x:v>0</x:v>
      </x:c>
      <x:c r="AM128" s="39" t="n">
        <x:f>MAX(0,MIN($G128,160)-MAX($F128,156)+1)*$D128/$E128</x:f>
        <x:v>0</x:v>
      </x:c>
      <x:c r="AN128" s="39" t="n">
        <x:f>MAX(0,MIN($G128,165)-MAX($F128,161)+1)*$D128/$E128</x:f>
        <x:v>0</x:v>
      </x:c>
      <x:c r="AO128" s="39" t="n">
        <x:f>MAX(0,MIN($G128,170)-MAX($F128,166)+1)*$D128/$E128</x:f>
        <x:v>0</x:v>
      </x:c>
      <x:c r="AP128" s="39" t="n">
        <x:f>MAX(0,MIN($G128,175)-MAX($F128,171)+1)*$D128/$E128</x:f>
        <x:v>0</x:v>
      </x:c>
      <x:c r="AQ128" s="39" t="n">
        <x:f>MAX(0,MIN($G128,180)-MAX($F128,176)+1)*$D128/$E128</x:f>
        <x:v>0</x:v>
      </x:c>
    </x:row>
    <x:row r="129" ht="27" customHeight="1">
      <x:c r="A129" s="9" t="str">
        <x:v>I04</x:v>
      </x:c>
      <x:c r="B129" s="9" t="str">
        <x:f>'Tasks'!P67</x:f>
        <x:v>EXP</x:v>
      </x:c>
      <x:c r="C129" s="9" t="str">
        <x:v>Review</x:v>
      </x:c>
      <x:c r="D129" s="40" t="n">
        <x:f>'Tasks'!Q67</x:f>
        <x:v>30</x:v>
      </x:c>
      <x:c r="E129" s="40" t="n">
        <x:f>'Tasks'!F67</x:f>
        <x:v>6</x:v>
      </x:c>
      <x:c r="F129" s="40" t="n">
        <x:f>'Tasks'!K67</x:f>
        <x:v>124</x:v>
      </x:c>
      <x:c r="G129" s="40" t="n">
        <x:f>'Tasks'!L67</x:f>
        <x:v>129</x:v>
      </x:c>
      <x:c r="H129" s="40" t="n">
        <x:f>MAX(0,MIN($G129,5)-MAX($F129,1)+1)*$D129/$E129</x:f>
        <x:v>0</x:v>
      </x:c>
      <x:c r="I129" s="40" t="n">
        <x:f>MAX(0,MIN($G129,10)-MAX($F129,6)+1)*$D129/$E129</x:f>
        <x:v>0</x:v>
      </x:c>
      <x:c r="J129" s="40" t="n">
        <x:f>MAX(0,MIN($G129,15)-MAX($F129,11)+1)*$D129/$E129</x:f>
        <x:v>0</x:v>
      </x:c>
      <x:c r="K129" s="40" t="n">
        <x:f>MAX(0,MIN($G129,20)-MAX($F129,16)+1)*$D129/$E129</x:f>
        <x:v>0</x:v>
      </x:c>
      <x:c r="L129" s="40" t="n">
        <x:f>MAX(0,MIN($G129,25)-MAX($F129,21)+1)*$D129/$E129</x:f>
        <x:v>0</x:v>
      </x:c>
      <x:c r="M129" s="40" t="n">
        <x:f>MAX(0,MIN($G129,30)-MAX($F129,26)+1)*$D129/$E129</x:f>
        <x:v>0</x:v>
      </x:c>
      <x:c r="N129" s="40" t="n">
        <x:f>MAX(0,MIN($G129,35)-MAX($F129,31)+1)*$D129/$E129</x:f>
        <x:v>0</x:v>
      </x:c>
      <x:c r="O129" s="40" t="n">
        <x:f>MAX(0,MIN($G129,40)-MAX($F129,36)+1)*$D129/$E129</x:f>
        <x:v>0</x:v>
      </x:c>
      <x:c r="P129" s="40" t="n">
        <x:f>MAX(0,MIN($G129,45)-MAX($F129,41)+1)*$D129/$E129</x:f>
        <x:v>0</x:v>
      </x:c>
      <x:c r="Q129" s="40" t="n">
        <x:f>MAX(0,MIN($G129,50)-MAX($F129,46)+1)*$D129/$E129</x:f>
        <x:v>0</x:v>
      </x:c>
      <x:c r="R129" s="40" t="n">
        <x:f>MAX(0,MIN($G129,55)-MAX($F129,51)+1)*$D129/$E129</x:f>
        <x:v>0</x:v>
      </x:c>
      <x:c r="S129" s="40" t="n">
        <x:f>MAX(0,MIN($G129,60)-MAX($F129,56)+1)*$D129/$E129</x:f>
        <x:v>0</x:v>
      </x:c>
      <x:c r="T129" s="40" t="n">
        <x:f>MAX(0,MIN($G129,65)-MAX($F129,61)+1)*$D129/$E129</x:f>
        <x:v>0</x:v>
      </x:c>
      <x:c r="U129" s="40" t="n">
        <x:f>MAX(0,MIN($G129,70)-MAX($F129,66)+1)*$D129/$E129</x:f>
        <x:v>0</x:v>
      </x:c>
      <x:c r="V129" s="40" t="n">
        <x:f>MAX(0,MIN($G129,75)-MAX($F129,71)+1)*$D129/$E129</x:f>
        <x:v>0</x:v>
      </x:c>
      <x:c r="W129" s="40" t="n">
        <x:f>MAX(0,MIN($G129,80)-MAX($F129,76)+1)*$D129/$E129</x:f>
        <x:v>0</x:v>
      </x:c>
      <x:c r="X129" s="40" t="n">
        <x:f>MAX(0,MIN($G129,85)-MAX($F129,81)+1)*$D129/$E129</x:f>
        <x:v>0</x:v>
      </x:c>
      <x:c r="Y129" s="40" t="n">
        <x:f>MAX(0,MIN($G129,90)-MAX($F129,86)+1)*$D129/$E129</x:f>
        <x:v>0</x:v>
      </x:c>
      <x:c r="Z129" s="40" t="n">
        <x:f>MAX(0,MIN($G129,95)-MAX($F129,91)+1)*$D129/$E129</x:f>
        <x:v>0</x:v>
      </x:c>
      <x:c r="AA129" s="40" t="n">
        <x:f>MAX(0,MIN($G129,100)-MAX($F129,96)+1)*$D129/$E129</x:f>
        <x:v>0</x:v>
      </x:c>
      <x:c r="AB129" s="40" t="n">
        <x:f>MAX(0,MIN($G129,105)-MAX($F129,101)+1)*$D129/$E129</x:f>
        <x:v>0</x:v>
      </x:c>
      <x:c r="AC129" s="40" t="n">
        <x:f>MAX(0,MIN($G129,110)-MAX($F129,106)+1)*$D129/$E129</x:f>
        <x:v>0</x:v>
      </x:c>
      <x:c r="AD129" s="40" t="n">
        <x:f>MAX(0,MIN($G129,115)-MAX($F129,111)+1)*$D129/$E129</x:f>
        <x:v>0</x:v>
      </x:c>
      <x:c r="AE129" s="40" t="n">
        <x:f>MAX(0,MIN($G129,120)-MAX($F129,116)+1)*$D129/$E129</x:f>
        <x:v>0</x:v>
      </x:c>
      <x:c r="AF129" s="40" t="n">
        <x:f>MAX(0,MIN($G129,125)-MAX($F129,121)+1)*$D129/$E129</x:f>
        <x:v>10</x:v>
      </x:c>
      <x:c r="AG129" s="40" t="n">
        <x:f>MAX(0,MIN($G129,130)-MAX($F129,126)+1)*$D129/$E129</x:f>
        <x:v>20</x:v>
      </x:c>
      <x:c r="AH129" s="40" t="n">
        <x:f>MAX(0,MIN($G129,135)-MAX($F129,131)+1)*$D129/$E129</x:f>
        <x:v>0</x:v>
      </x:c>
      <x:c r="AI129" s="40" t="n">
        <x:f>MAX(0,MIN($G129,140)-MAX($F129,136)+1)*$D129/$E129</x:f>
        <x:v>0</x:v>
      </x:c>
      <x:c r="AJ129" s="40" t="n">
        <x:f>MAX(0,MIN($G129,145)-MAX($F129,141)+1)*$D129/$E129</x:f>
        <x:v>0</x:v>
      </x:c>
      <x:c r="AK129" s="40" t="n">
        <x:f>MAX(0,MIN($G129,150)-MAX($F129,146)+1)*$D129/$E129</x:f>
        <x:v>0</x:v>
      </x:c>
      <x:c r="AL129" s="40" t="n">
        <x:f>MAX(0,MIN($G129,155)-MAX($F129,151)+1)*$D129/$E129</x:f>
        <x:v>0</x:v>
      </x:c>
      <x:c r="AM129" s="40" t="n">
        <x:f>MAX(0,MIN($G129,160)-MAX($F129,156)+1)*$D129/$E129</x:f>
        <x:v>0</x:v>
      </x:c>
      <x:c r="AN129" s="40" t="n">
        <x:f>MAX(0,MIN($G129,165)-MAX($F129,161)+1)*$D129/$E129</x:f>
        <x:v>0</x:v>
      </x:c>
      <x:c r="AO129" s="40" t="n">
        <x:f>MAX(0,MIN($G129,170)-MAX($F129,166)+1)*$D129/$E129</x:f>
        <x:v>0</x:v>
      </x:c>
      <x:c r="AP129" s="40" t="n">
        <x:f>MAX(0,MIN($G129,175)-MAX($F129,171)+1)*$D129/$E129</x:f>
        <x:v>0</x:v>
      </x:c>
      <x:c r="AQ129" s="40" t="n">
        <x:f>MAX(0,MIN($G129,180)-MAX($F129,176)+1)*$D129/$E129</x:f>
        <x:v>0</x:v>
      </x:c>
    </x:row>
    <x:row r="130" ht="27" customHeight="1">
      <x:c r="A130" s="10" t="str">
        <x:v>I05</x:v>
      </x:c>
      <x:c r="B130" s="10" t="str">
        <x:f>'Tasks'!D68</x:f>
        <x:v>OPS</x:v>
      </x:c>
      <x:c r="C130" s="10" t="str">
        <x:v>Owner</x:v>
      </x:c>
      <x:c r="D130" s="39" t="n">
        <x:f>'Tasks'!O68</x:f>
        <x:v>20</x:v>
      </x:c>
      <x:c r="E130" s="39" t="n">
        <x:f>'Tasks'!F68</x:f>
        <x:v>4</x:v>
      </x:c>
      <x:c r="F130" s="39" t="n">
        <x:f>'Tasks'!K68</x:f>
        <x:v>119</x:v>
      </x:c>
      <x:c r="G130" s="39" t="n">
        <x:f>'Tasks'!L68</x:f>
        <x:v>122</x:v>
      </x:c>
      <x:c r="H130" s="39" t="n">
        <x:f>MAX(0,MIN($G130,5)-MAX($F130,1)+1)*$D130/$E130</x:f>
        <x:v>0</x:v>
      </x:c>
      <x:c r="I130" s="39" t="n">
        <x:f>MAX(0,MIN($G130,10)-MAX($F130,6)+1)*$D130/$E130</x:f>
        <x:v>0</x:v>
      </x:c>
      <x:c r="J130" s="39" t="n">
        <x:f>MAX(0,MIN($G130,15)-MAX($F130,11)+1)*$D130/$E130</x:f>
        <x:v>0</x:v>
      </x:c>
      <x:c r="K130" s="39" t="n">
        <x:f>MAX(0,MIN($G130,20)-MAX($F130,16)+1)*$D130/$E130</x:f>
        <x:v>0</x:v>
      </x:c>
      <x:c r="L130" s="39" t="n">
        <x:f>MAX(0,MIN($G130,25)-MAX($F130,21)+1)*$D130/$E130</x:f>
        <x:v>0</x:v>
      </x:c>
      <x:c r="M130" s="39" t="n">
        <x:f>MAX(0,MIN($G130,30)-MAX($F130,26)+1)*$D130/$E130</x:f>
        <x:v>0</x:v>
      </x:c>
      <x:c r="N130" s="39" t="n">
        <x:f>MAX(0,MIN($G130,35)-MAX($F130,31)+1)*$D130/$E130</x:f>
        <x:v>0</x:v>
      </x:c>
      <x:c r="O130" s="39" t="n">
        <x:f>MAX(0,MIN($G130,40)-MAX($F130,36)+1)*$D130/$E130</x:f>
        <x:v>0</x:v>
      </x:c>
      <x:c r="P130" s="39" t="n">
        <x:f>MAX(0,MIN($G130,45)-MAX($F130,41)+1)*$D130/$E130</x:f>
        <x:v>0</x:v>
      </x:c>
      <x:c r="Q130" s="39" t="n">
        <x:f>MAX(0,MIN($G130,50)-MAX($F130,46)+1)*$D130/$E130</x:f>
        <x:v>0</x:v>
      </x:c>
      <x:c r="R130" s="39" t="n">
        <x:f>MAX(0,MIN($G130,55)-MAX($F130,51)+1)*$D130/$E130</x:f>
        <x:v>0</x:v>
      </x:c>
      <x:c r="S130" s="39" t="n">
        <x:f>MAX(0,MIN($G130,60)-MAX($F130,56)+1)*$D130/$E130</x:f>
        <x:v>0</x:v>
      </x:c>
      <x:c r="T130" s="39" t="n">
        <x:f>MAX(0,MIN($G130,65)-MAX($F130,61)+1)*$D130/$E130</x:f>
        <x:v>0</x:v>
      </x:c>
      <x:c r="U130" s="39" t="n">
        <x:f>MAX(0,MIN($G130,70)-MAX($F130,66)+1)*$D130/$E130</x:f>
        <x:v>0</x:v>
      </x:c>
      <x:c r="V130" s="39" t="n">
        <x:f>MAX(0,MIN($G130,75)-MAX($F130,71)+1)*$D130/$E130</x:f>
        <x:v>0</x:v>
      </x:c>
      <x:c r="W130" s="39" t="n">
        <x:f>MAX(0,MIN($G130,80)-MAX($F130,76)+1)*$D130/$E130</x:f>
        <x:v>0</x:v>
      </x:c>
      <x:c r="X130" s="39" t="n">
        <x:f>MAX(0,MIN($G130,85)-MAX($F130,81)+1)*$D130/$E130</x:f>
        <x:v>0</x:v>
      </x:c>
      <x:c r="Y130" s="39" t="n">
        <x:f>MAX(0,MIN($G130,90)-MAX($F130,86)+1)*$D130/$E130</x:f>
        <x:v>0</x:v>
      </x:c>
      <x:c r="Z130" s="39" t="n">
        <x:f>MAX(0,MIN($G130,95)-MAX($F130,91)+1)*$D130/$E130</x:f>
        <x:v>0</x:v>
      </x:c>
      <x:c r="AA130" s="39" t="n">
        <x:f>MAX(0,MIN($G130,100)-MAX($F130,96)+1)*$D130/$E130</x:f>
        <x:v>0</x:v>
      </x:c>
      <x:c r="AB130" s="39" t="n">
        <x:f>MAX(0,MIN($G130,105)-MAX($F130,101)+1)*$D130/$E130</x:f>
        <x:v>0</x:v>
      </x:c>
      <x:c r="AC130" s="39" t="n">
        <x:f>MAX(0,MIN($G130,110)-MAX($F130,106)+1)*$D130/$E130</x:f>
        <x:v>0</x:v>
      </x:c>
      <x:c r="AD130" s="39" t="n">
        <x:f>MAX(0,MIN($G130,115)-MAX($F130,111)+1)*$D130/$E130</x:f>
        <x:v>0</x:v>
      </x:c>
      <x:c r="AE130" s="39" t="n">
        <x:f>MAX(0,MIN($G130,120)-MAX($F130,116)+1)*$D130/$E130</x:f>
        <x:v>10</x:v>
      </x:c>
      <x:c r="AF130" s="39" t="n">
        <x:f>MAX(0,MIN($G130,125)-MAX($F130,121)+1)*$D130/$E130</x:f>
        <x:v>10</x:v>
      </x:c>
      <x:c r="AG130" s="39" t="n">
        <x:f>MAX(0,MIN($G130,130)-MAX($F130,126)+1)*$D130/$E130</x:f>
        <x:v>0</x:v>
      </x:c>
      <x:c r="AH130" s="39" t="n">
        <x:f>MAX(0,MIN($G130,135)-MAX($F130,131)+1)*$D130/$E130</x:f>
        <x:v>0</x:v>
      </x:c>
      <x:c r="AI130" s="39" t="n">
        <x:f>MAX(0,MIN($G130,140)-MAX($F130,136)+1)*$D130/$E130</x:f>
        <x:v>0</x:v>
      </x:c>
      <x:c r="AJ130" s="39" t="n">
        <x:f>MAX(0,MIN($G130,145)-MAX($F130,141)+1)*$D130/$E130</x:f>
        <x:v>0</x:v>
      </x:c>
      <x:c r="AK130" s="39" t="n">
        <x:f>MAX(0,MIN($G130,150)-MAX($F130,146)+1)*$D130/$E130</x:f>
        <x:v>0</x:v>
      </x:c>
      <x:c r="AL130" s="39" t="n">
        <x:f>MAX(0,MIN($G130,155)-MAX($F130,151)+1)*$D130/$E130</x:f>
        <x:v>0</x:v>
      </x:c>
      <x:c r="AM130" s="39" t="n">
        <x:f>MAX(0,MIN($G130,160)-MAX($F130,156)+1)*$D130/$E130</x:f>
        <x:v>0</x:v>
      </x:c>
      <x:c r="AN130" s="39" t="n">
        <x:f>MAX(0,MIN($G130,165)-MAX($F130,161)+1)*$D130/$E130</x:f>
        <x:v>0</x:v>
      </x:c>
      <x:c r="AO130" s="39" t="n">
        <x:f>MAX(0,MIN($G130,170)-MAX($F130,166)+1)*$D130/$E130</x:f>
        <x:v>0</x:v>
      </x:c>
      <x:c r="AP130" s="39" t="n">
        <x:f>MAX(0,MIN($G130,175)-MAX($F130,171)+1)*$D130/$E130</x:f>
        <x:v>0</x:v>
      </x:c>
      <x:c r="AQ130" s="39" t="n">
        <x:f>MAX(0,MIN($G130,180)-MAX($F130,176)+1)*$D130/$E130</x:f>
        <x:v>0</x:v>
      </x:c>
    </x:row>
    <x:row r="131" ht="27" customHeight="1">
      <x:c r="A131" s="9" t="str">
        <x:v>I05</x:v>
      </x:c>
      <x:c r="B131" s="9" t="str">
        <x:f>'Tasks'!P68</x:f>
        <x:v>SEC</x:v>
      </x:c>
      <x:c r="C131" s="9" t="str">
        <x:v>Review</x:v>
      </x:c>
      <x:c r="D131" s="40" t="n">
        <x:f>'Tasks'!Q68</x:f>
        <x:v>5</x:v>
      </x:c>
      <x:c r="E131" s="40" t="n">
        <x:f>'Tasks'!F68</x:f>
        <x:v>4</x:v>
      </x:c>
      <x:c r="F131" s="40" t="n">
        <x:f>'Tasks'!K68</x:f>
        <x:v>119</x:v>
      </x:c>
      <x:c r="G131" s="40" t="n">
        <x:f>'Tasks'!L68</x:f>
        <x:v>122</x:v>
      </x:c>
      <x:c r="H131" s="40" t="n">
        <x:f>MAX(0,MIN($G131,5)-MAX($F131,1)+1)*$D131/$E131</x:f>
        <x:v>0</x:v>
      </x:c>
      <x:c r="I131" s="40" t="n">
        <x:f>MAX(0,MIN($G131,10)-MAX($F131,6)+1)*$D131/$E131</x:f>
        <x:v>0</x:v>
      </x:c>
      <x:c r="J131" s="40" t="n">
        <x:f>MAX(0,MIN($G131,15)-MAX($F131,11)+1)*$D131/$E131</x:f>
        <x:v>0</x:v>
      </x:c>
      <x:c r="K131" s="40" t="n">
        <x:f>MAX(0,MIN($G131,20)-MAX($F131,16)+1)*$D131/$E131</x:f>
        <x:v>0</x:v>
      </x:c>
      <x:c r="L131" s="40" t="n">
        <x:f>MAX(0,MIN($G131,25)-MAX($F131,21)+1)*$D131/$E131</x:f>
        <x:v>0</x:v>
      </x:c>
      <x:c r="M131" s="40" t="n">
        <x:f>MAX(0,MIN($G131,30)-MAX($F131,26)+1)*$D131/$E131</x:f>
        <x:v>0</x:v>
      </x:c>
      <x:c r="N131" s="40" t="n">
        <x:f>MAX(0,MIN($G131,35)-MAX($F131,31)+1)*$D131/$E131</x:f>
        <x:v>0</x:v>
      </x:c>
      <x:c r="O131" s="40" t="n">
        <x:f>MAX(0,MIN($G131,40)-MAX($F131,36)+1)*$D131/$E131</x:f>
        <x:v>0</x:v>
      </x:c>
      <x:c r="P131" s="40" t="n">
        <x:f>MAX(0,MIN($G131,45)-MAX($F131,41)+1)*$D131/$E131</x:f>
        <x:v>0</x:v>
      </x:c>
      <x:c r="Q131" s="40" t="n">
        <x:f>MAX(0,MIN($G131,50)-MAX($F131,46)+1)*$D131/$E131</x:f>
        <x:v>0</x:v>
      </x:c>
      <x:c r="R131" s="40" t="n">
        <x:f>MAX(0,MIN($G131,55)-MAX($F131,51)+1)*$D131/$E131</x:f>
        <x:v>0</x:v>
      </x:c>
      <x:c r="S131" s="40" t="n">
        <x:f>MAX(0,MIN($G131,60)-MAX($F131,56)+1)*$D131/$E131</x:f>
        <x:v>0</x:v>
      </x:c>
      <x:c r="T131" s="40" t="n">
        <x:f>MAX(0,MIN($G131,65)-MAX($F131,61)+1)*$D131/$E131</x:f>
        <x:v>0</x:v>
      </x:c>
      <x:c r="U131" s="40" t="n">
        <x:f>MAX(0,MIN($G131,70)-MAX($F131,66)+1)*$D131/$E131</x:f>
        <x:v>0</x:v>
      </x:c>
      <x:c r="V131" s="40" t="n">
        <x:f>MAX(0,MIN($G131,75)-MAX($F131,71)+1)*$D131/$E131</x:f>
        <x:v>0</x:v>
      </x:c>
      <x:c r="W131" s="40" t="n">
        <x:f>MAX(0,MIN($G131,80)-MAX($F131,76)+1)*$D131/$E131</x:f>
        <x:v>0</x:v>
      </x:c>
      <x:c r="X131" s="40" t="n">
        <x:f>MAX(0,MIN($G131,85)-MAX($F131,81)+1)*$D131/$E131</x:f>
        <x:v>0</x:v>
      </x:c>
      <x:c r="Y131" s="40" t="n">
        <x:f>MAX(0,MIN($G131,90)-MAX($F131,86)+1)*$D131/$E131</x:f>
        <x:v>0</x:v>
      </x:c>
      <x:c r="Z131" s="40" t="n">
        <x:f>MAX(0,MIN($G131,95)-MAX($F131,91)+1)*$D131/$E131</x:f>
        <x:v>0</x:v>
      </x:c>
      <x:c r="AA131" s="40" t="n">
        <x:f>MAX(0,MIN($G131,100)-MAX($F131,96)+1)*$D131/$E131</x:f>
        <x:v>0</x:v>
      </x:c>
      <x:c r="AB131" s="40" t="n">
        <x:f>MAX(0,MIN($G131,105)-MAX($F131,101)+1)*$D131/$E131</x:f>
        <x:v>0</x:v>
      </x:c>
      <x:c r="AC131" s="40" t="n">
        <x:f>MAX(0,MIN($G131,110)-MAX($F131,106)+1)*$D131/$E131</x:f>
        <x:v>0</x:v>
      </x:c>
      <x:c r="AD131" s="40" t="n">
        <x:f>MAX(0,MIN($G131,115)-MAX($F131,111)+1)*$D131/$E131</x:f>
        <x:v>0</x:v>
      </x:c>
      <x:c r="AE131" s="40" t="n">
        <x:f>MAX(0,MIN($G131,120)-MAX($F131,116)+1)*$D131/$E131</x:f>
        <x:v>2.5</x:v>
      </x:c>
      <x:c r="AF131" s="40" t="n">
        <x:f>MAX(0,MIN($G131,125)-MAX($F131,121)+1)*$D131/$E131</x:f>
        <x:v>2.5</x:v>
      </x:c>
      <x:c r="AG131" s="40" t="n">
        <x:f>MAX(0,MIN($G131,130)-MAX($F131,126)+1)*$D131/$E131</x:f>
        <x:v>0</x:v>
      </x:c>
      <x:c r="AH131" s="40" t="n">
        <x:f>MAX(0,MIN($G131,135)-MAX($F131,131)+1)*$D131/$E131</x:f>
        <x:v>0</x:v>
      </x:c>
      <x:c r="AI131" s="40" t="n">
        <x:f>MAX(0,MIN($G131,140)-MAX($F131,136)+1)*$D131/$E131</x:f>
        <x:v>0</x:v>
      </x:c>
      <x:c r="AJ131" s="40" t="n">
        <x:f>MAX(0,MIN($G131,145)-MAX($F131,141)+1)*$D131/$E131</x:f>
        <x:v>0</x:v>
      </x:c>
      <x:c r="AK131" s="40" t="n">
        <x:f>MAX(0,MIN($G131,150)-MAX($F131,146)+1)*$D131/$E131</x:f>
        <x:v>0</x:v>
      </x:c>
      <x:c r="AL131" s="40" t="n">
        <x:f>MAX(0,MIN($G131,155)-MAX($F131,151)+1)*$D131/$E131</x:f>
        <x:v>0</x:v>
      </x:c>
      <x:c r="AM131" s="40" t="n">
        <x:f>MAX(0,MIN($G131,160)-MAX($F131,156)+1)*$D131/$E131</x:f>
        <x:v>0</x:v>
      </x:c>
      <x:c r="AN131" s="40" t="n">
        <x:f>MAX(0,MIN($G131,165)-MAX($F131,161)+1)*$D131/$E131</x:f>
        <x:v>0</x:v>
      </x:c>
      <x:c r="AO131" s="40" t="n">
        <x:f>MAX(0,MIN($G131,170)-MAX($F131,166)+1)*$D131/$E131</x:f>
        <x:v>0</x:v>
      </x:c>
      <x:c r="AP131" s="40" t="n">
        <x:f>MAX(0,MIN($G131,175)-MAX($F131,171)+1)*$D131/$E131</x:f>
        <x:v>0</x:v>
      </x:c>
      <x:c r="AQ131" s="40" t="n">
        <x:f>MAX(0,MIN($G131,180)-MAX($F131,176)+1)*$D131/$E131</x:f>
        <x:v>0</x:v>
      </x:c>
    </x:row>
    <x:row r="132" ht="27" customHeight="1">
      <x:c r="A132" s="10" t="str">
        <x:v>I06</x:v>
      </x:c>
      <x:c r="B132" s="10" t="str">
        <x:f>'Tasks'!D69</x:f>
        <x:v>HP</x:v>
      </x:c>
      <x:c r="C132" s="10" t="str">
        <x:v>Owner</x:v>
      </x:c>
      <x:c r="D132" s="39" t="n">
        <x:f>'Tasks'!O69</x:f>
        <x:v>10</x:v>
      </x:c>
      <x:c r="E132" s="39" t="n">
        <x:f>'Tasks'!F69</x:f>
        <x:v>3</x:v>
      </x:c>
      <x:c r="F132" s="39" t="n">
        <x:f>'Tasks'!K69</x:f>
        <x:v>130</x:v>
      </x:c>
      <x:c r="G132" s="39" t="n">
        <x:f>'Tasks'!L69</x:f>
        <x:v>132</x:v>
      </x:c>
      <x:c r="H132" s="39" t="n">
        <x:f>MAX(0,MIN($G132,5)-MAX($F132,1)+1)*$D132/$E132</x:f>
        <x:v>0</x:v>
      </x:c>
      <x:c r="I132" s="39" t="n">
        <x:f>MAX(0,MIN($G132,10)-MAX($F132,6)+1)*$D132/$E132</x:f>
        <x:v>0</x:v>
      </x:c>
      <x:c r="J132" s="39" t="n">
        <x:f>MAX(0,MIN($G132,15)-MAX($F132,11)+1)*$D132/$E132</x:f>
        <x:v>0</x:v>
      </x:c>
      <x:c r="K132" s="39" t="n">
        <x:f>MAX(0,MIN($G132,20)-MAX($F132,16)+1)*$D132/$E132</x:f>
        <x:v>0</x:v>
      </x:c>
      <x:c r="L132" s="39" t="n">
        <x:f>MAX(0,MIN($G132,25)-MAX($F132,21)+1)*$D132/$E132</x:f>
        <x:v>0</x:v>
      </x:c>
      <x:c r="M132" s="39" t="n">
        <x:f>MAX(0,MIN($G132,30)-MAX($F132,26)+1)*$D132/$E132</x:f>
        <x:v>0</x:v>
      </x:c>
      <x:c r="N132" s="39" t="n">
        <x:f>MAX(0,MIN($G132,35)-MAX($F132,31)+1)*$D132/$E132</x:f>
        <x:v>0</x:v>
      </x:c>
      <x:c r="O132" s="39" t="n">
        <x:f>MAX(0,MIN($G132,40)-MAX($F132,36)+1)*$D132/$E132</x:f>
        <x:v>0</x:v>
      </x:c>
      <x:c r="P132" s="39" t="n">
        <x:f>MAX(0,MIN($G132,45)-MAX($F132,41)+1)*$D132/$E132</x:f>
        <x:v>0</x:v>
      </x:c>
      <x:c r="Q132" s="39" t="n">
        <x:f>MAX(0,MIN($G132,50)-MAX($F132,46)+1)*$D132/$E132</x:f>
        <x:v>0</x:v>
      </x:c>
      <x:c r="R132" s="39" t="n">
        <x:f>MAX(0,MIN($G132,55)-MAX($F132,51)+1)*$D132/$E132</x:f>
        <x:v>0</x:v>
      </x:c>
      <x:c r="S132" s="39" t="n">
        <x:f>MAX(0,MIN($G132,60)-MAX($F132,56)+1)*$D132/$E132</x:f>
        <x:v>0</x:v>
      </x:c>
      <x:c r="T132" s="39" t="n">
        <x:f>MAX(0,MIN($G132,65)-MAX($F132,61)+1)*$D132/$E132</x:f>
        <x:v>0</x:v>
      </x:c>
      <x:c r="U132" s="39" t="n">
        <x:f>MAX(0,MIN($G132,70)-MAX($F132,66)+1)*$D132/$E132</x:f>
        <x:v>0</x:v>
      </x:c>
      <x:c r="V132" s="39" t="n">
        <x:f>MAX(0,MIN($G132,75)-MAX($F132,71)+1)*$D132/$E132</x:f>
        <x:v>0</x:v>
      </x:c>
      <x:c r="W132" s="39" t="n">
        <x:f>MAX(0,MIN($G132,80)-MAX($F132,76)+1)*$D132/$E132</x:f>
        <x:v>0</x:v>
      </x:c>
      <x:c r="X132" s="39" t="n">
        <x:f>MAX(0,MIN($G132,85)-MAX($F132,81)+1)*$D132/$E132</x:f>
        <x:v>0</x:v>
      </x:c>
      <x:c r="Y132" s="39" t="n">
        <x:f>MAX(0,MIN($G132,90)-MAX($F132,86)+1)*$D132/$E132</x:f>
        <x:v>0</x:v>
      </x:c>
      <x:c r="Z132" s="39" t="n">
        <x:f>MAX(0,MIN($G132,95)-MAX($F132,91)+1)*$D132/$E132</x:f>
        <x:v>0</x:v>
      </x:c>
      <x:c r="AA132" s="39" t="n">
        <x:f>MAX(0,MIN($G132,100)-MAX($F132,96)+1)*$D132/$E132</x:f>
        <x:v>0</x:v>
      </x:c>
      <x:c r="AB132" s="39" t="n">
        <x:f>MAX(0,MIN($G132,105)-MAX($F132,101)+1)*$D132/$E132</x:f>
        <x:v>0</x:v>
      </x:c>
      <x:c r="AC132" s="39" t="n">
        <x:f>MAX(0,MIN($G132,110)-MAX($F132,106)+1)*$D132/$E132</x:f>
        <x:v>0</x:v>
      </x:c>
      <x:c r="AD132" s="39" t="n">
        <x:f>MAX(0,MIN($G132,115)-MAX($F132,111)+1)*$D132/$E132</x:f>
        <x:v>0</x:v>
      </x:c>
      <x:c r="AE132" s="39" t="n">
        <x:f>MAX(0,MIN($G132,120)-MAX($F132,116)+1)*$D132/$E132</x:f>
        <x:v>0</x:v>
      </x:c>
      <x:c r="AF132" s="39" t="n">
        <x:f>MAX(0,MIN($G132,125)-MAX($F132,121)+1)*$D132/$E132</x:f>
        <x:v>0</x:v>
      </x:c>
      <x:c r="AG132" s="39" t="n">
        <x:f>MAX(0,MIN($G132,130)-MAX($F132,126)+1)*$D132/$E132</x:f>
        <x:v>3.3333333333333335</x:v>
      </x:c>
      <x:c r="AH132" s="39" t="n">
        <x:f>MAX(0,MIN($G132,135)-MAX($F132,131)+1)*$D132/$E132</x:f>
        <x:v>6.666666666666667</x:v>
      </x:c>
      <x:c r="AI132" s="39" t="n">
        <x:f>MAX(0,MIN($G132,140)-MAX($F132,136)+1)*$D132/$E132</x:f>
        <x:v>0</x:v>
      </x:c>
      <x:c r="AJ132" s="39" t="n">
        <x:f>MAX(0,MIN($G132,145)-MAX($F132,141)+1)*$D132/$E132</x:f>
        <x:v>0</x:v>
      </x:c>
      <x:c r="AK132" s="39" t="n">
        <x:f>MAX(0,MIN($G132,150)-MAX($F132,146)+1)*$D132/$E132</x:f>
        <x:v>0</x:v>
      </x:c>
      <x:c r="AL132" s="39" t="n">
        <x:f>MAX(0,MIN($G132,155)-MAX($F132,151)+1)*$D132/$E132</x:f>
        <x:v>0</x:v>
      </x:c>
      <x:c r="AM132" s="39" t="n">
        <x:f>MAX(0,MIN($G132,160)-MAX($F132,156)+1)*$D132/$E132</x:f>
        <x:v>0</x:v>
      </x:c>
      <x:c r="AN132" s="39" t="n">
        <x:f>MAX(0,MIN($G132,165)-MAX($F132,161)+1)*$D132/$E132</x:f>
        <x:v>0</x:v>
      </x:c>
      <x:c r="AO132" s="39" t="n">
        <x:f>MAX(0,MIN($G132,170)-MAX($F132,166)+1)*$D132/$E132</x:f>
        <x:v>0</x:v>
      </x:c>
      <x:c r="AP132" s="39" t="n">
        <x:f>MAX(0,MIN($G132,175)-MAX($F132,171)+1)*$D132/$E132</x:f>
        <x:v>0</x:v>
      </x:c>
      <x:c r="AQ132" s="39" t="n">
        <x:f>MAX(0,MIN($G132,180)-MAX($F132,176)+1)*$D132/$E132</x:f>
        <x:v>0</x:v>
      </x:c>
    </x:row>
    <x:row r="133" ht="27" customHeight="1">
      <x:c r="A133" s="9" t="str">
        <x:v>I06</x:v>
      </x:c>
      <x:c r="B133" s="9" t="str">
        <x:f>'Tasks'!P69</x:f>
        <x:v>TD</x:v>
      </x:c>
      <x:c r="C133" s="9" t="str">
        <x:v>Review</x:v>
      </x:c>
      <x:c r="D133" s="40" t="n">
        <x:f>'Tasks'!Q69</x:f>
        <x:v>4</x:v>
      </x:c>
      <x:c r="E133" s="40" t="n">
        <x:f>'Tasks'!F69</x:f>
        <x:v>3</x:v>
      </x:c>
      <x:c r="F133" s="40" t="n">
        <x:f>'Tasks'!K69</x:f>
        <x:v>130</x:v>
      </x:c>
      <x:c r="G133" s="40" t="n">
        <x:f>'Tasks'!L69</x:f>
        <x:v>132</x:v>
      </x:c>
      <x:c r="H133" s="40" t="n">
        <x:f>MAX(0,MIN($G133,5)-MAX($F133,1)+1)*$D133/$E133</x:f>
        <x:v>0</x:v>
      </x:c>
      <x:c r="I133" s="40" t="n">
        <x:f>MAX(0,MIN($G133,10)-MAX($F133,6)+1)*$D133/$E133</x:f>
        <x:v>0</x:v>
      </x:c>
      <x:c r="J133" s="40" t="n">
        <x:f>MAX(0,MIN($G133,15)-MAX($F133,11)+1)*$D133/$E133</x:f>
        <x:v>0</x:v>
      </x:c>
      <x:c r="K133" s="40" t="n">
        <x:f>MAX(0,MIN($G133,20)-MAX($F133,16)+1)*$D133/$E133</x:f>
        <x:v>0</x:v>
      </x:c>
      <x:c r="L133" s="40" t="n">
        <x:f>MAX(0,MIN($G133,25)-MAX($F133,21)+1)*$D133/$E133</x:f>
        <x:v>0</x:v>
      </x:c>
      <x:c r="M133" s="40" t="n">
        <x:f>MAX(0,MIN($G133,30)-MAX($F133,26)+1)*$D133/$E133</x:f>
        <x:v>0</x:v>
      </x:c>
      <x:c r="N133" s="40" t="n">
        <x:f>MAX(0,MIN($G133,35)-MAX($F133,31)+1)*$D133/$E133</x:f>
        <x:v>0</x:v>
      </x:c>
      <x:c r="O133" s="40" t="n">
        <x:f>MAX(0,MIN($G133,40)-MAX($F133,36)+1)*$D133/$E133</x:f>
        <x:v>0</x:v>
      </x:c>
      <x:c r="P133" s="40" t="n">
        <x:f>MAX(0,MIN($G133,45)-MAX($F133,41)+1)*$D133/$E133</x:f>
        <x:v>0</x:v>
      </x:c>
      <x:c r="Q133" s="40" t="n">
        <x:f>MAX(0,MIN($G133,50)-MAX($F133,46)+1)*$D133/$E133</x:f>
        <x:v>0</x:v>
      </x:c>
      <x:c r="R133" s="40" t="n">
        <x:f>MAX(0,MIN($G133,55)-MAX($F133,51)+1)*$D133/$E133</x:f>
        <x:v>0</x:v>
      </x:c>
      <x:c r="S133" s="40" t="n">
        <x:f>MAX(0,MIN($G133,60)-MAX($F133,56)+1)*$D133/$E133</x:f>
        <x:v>0</x:v>
      </x:c>
      <x:c r="T133" s="40" t="n">
        <x:f>MAX(0,MIN($G133,65)-MAX($F133,61)+1)*$D133/$E133</x:f>
        <x:v>0</x:v>
      </x:c>
      <x:c r="U133" s="40" t="n">
        <x:f>MAX(0,MIN($G133,70)-MAX($F133,66)+1)*$D133/$E133</x:f>
        <x:v>0</x:v>
      </x:c>
      <x:c r="V133" s="40" t="n">
        <x:f>MAX(0,MIN($G133,75)-MAX($F133,71)+1)*$D133/$E133</x:f>
        <x:v>0</x:v>
      </x:c>
      <x:c r="W133" s="40" t="n">
        <x:f>MAX(0,MIN($G133,80)-MAX($F133,76)+1)*$D133/$E133</x:f>
        <x:v>0</x:v>
      </x:c>
      <x:c r="X133" s="40" t="n">
        <x:f>MAX(0,MIN($G133,85)-MAX($F133,81)+1)*$D133/$E133</x:f>
        <x:v>0</x:v>
      </x:c>
      <x:c r="Y133" s="40" t="n">
        <x:f>MAX(0,MIN($G133,90)-MAX($F133,86)+1)*$D133/$E133</x:f>
        <x:v>0</x:v>
      </x:c>
      <x:c r="Z133" s="40" t="n">
        <x:f>MAX(0,MIN($G133,95)-MAX($F133,91)+1)*$D133/$E133</x:f>
        <x:v>0</x:v>
      </x:c>
      <x:c r="AA133" s="40" t="n">
        <x:f>MAX(0,MIN($G133,100)-MAX($F133,96)+1)*$D133/$E133</x:f>
        <x:v>0</x:v>
      </x:c>
      <x:c r="AB133" s="40" t="n">
        <x:f>MAX(0,MIN($G133,105)-MAX($F133,101)+1)*$D133/$E133</x:f>
        <x:v>0</x:v>
      </x:c>
      <x:c r="AC133" s="40" t="n">
        <x:f>MAX(0,MIN($G133,110)-MAX($F133,106)+1)*$D133/$E133</x:f>
        <x:v>0</x:v>
      </x:c>
      <x:c r="AD133" s="40" t="n">
        <x:f>MAX(0,MIN($G133,115)-MAX($F133,111)+1)*$D133/$E133</x:f>
        <x:v>0</x:v>
      </x:c>
      <x:c r="AE133" s="40" t="n">
        <x:f>MAX(0,MIN($G133,120)-MAX($F133,116)+1)*$D133/$E133</x:f>
        <x:v>0</x:v>
      </x:c>
      <x:c r="AF133" s="40" t="n">
        <x:f>MAX(0,MIN($G133,125)-MAX($F133,121)+1)*$D133/$E133</x:f>
        <x:v>0</x:v>
      </x:c>
      <x:c r="AG133" s="40" t="n">
        <x:f>MAX(0,MIN($G133,130)-MAX($F133,126)+1)*$D133/$E133</x:f>
        <x:v>1.3333333333333333</x:v>
      </x:c>
      <x:c r="AH133" s="40" t="n">
        <x:f>MAX(0,MIN($G133,135)-MAX($F133,131)+1)*$D133/$E133</x:f>
        <x:v>2.6666666666666665</x:v>
      </x:c>
      <x:c r="AI133" s="40" t="n">
        <x:f>MAX(0,MIN($G133,140)-MAX($F133,136)+1)*$D133/$E133</x:f>
        <x:v>0</x:v>
      </x:c>
      <x:c r="AJ133" s="40" t="n">
        <x:f>MAX(0,MIN($G133,145)-MAX($F133,141)+1)*$D133/$E133</x:f>
        <x:v>0</x:v>
      </x:c>
      <x:c r="AK133" s="40" t="n">
        <x:f>MAX(0,MIN($G133,150)-MAX($F133,146)+1)*$D133/$E133</x:f>
        <x:v>0</x:v>
      </x:c>
      <x:c r="AL133" s="40" t="n">
        <x:f>MAX(0,MIN($G133,155)-MAX($F133,151)+1)*$D133/$E133</x:f>
        <x:v>0</x:v>
      </x:c>
      <x:c r="AM133" s="40" t="n">
        <x:f>MAX(0,MIN($G133,160)-MAX($F133,156)+1)*$D133/$E133</x:f>
        <x:v>0</x:v>
      </x:c>
      <x:c r="AN133" s="40" t="n">
        <x:f>MAX(0,MIN($G133,165)-MAX($F133,161)+1)*$D133/$E133</x:f>
        <x:v>0</x:v>
      </x:c>
      <x:c r="AO133" s="40" t="n">
        <x:f>MAX(0,MIN($G133,170)-MAX($F133,166)+1)*$D133/$E133</x:f>
        <x:v>0</x:v>
      </x:c>
      <x:c r="AP133" s="40" t="n">
        <x:f>MAX(0,MIN($G133,175)-MAX($F133,171)+1)*$D133/$E133</x:f>
        <x:v>0</x:v>
      </x:c>
      <x:c r="AQ133" s="40" t="n">
        <x:f>MAX(0,MIN($G133,180)-MAX($F133,176)+1)*$D133/$E133</x:f>
        <x:v>0</x:v>
      </x:c>
    </x:row>
    <x:row r="134" ht="27" customHeight="1">
      <x:c r="A134" s="10" t="str">
        <x:v>G4</x:v>
      </x:c>
      <x:c r="B134" s="10" t="str">
        <x:f>'Tasks'!D70</x:f>
        <x:v>MD</x:v>
      </x:c>
      <x:c r="C134" s="10" t="str">
        <x:v>Owner</x:v>
      </x:c>
      <x:c r="D134" s="39" t="n">
        <x:f>'Tasks'!O70</x:f>
        <x:v>4</x:v>
      </x:c>
      <x:c r="E134" s="39" t="n">
        <x:f>'Tasks'!F70</x:f>
        <x:v>1</x:v>
      </x:c>
      <x:c r="F134" s="39" t="n">
        <x:f>'Tasks'!K70</x:f>
        <x:v>133</x:v>
      </x:c>
      <x:c r="G134" s="39" t="n">
        <x:f>'Tasks'!L70</x:f>
        <x:v>133</x:v>
      </x:c>
      <x:c r="H134" s="39" t="n">
        <x:f>MAX(0,MIN($G134,5)-MAX($F134,1)+1)*$D134/$E134</x:f>
        <x:v>0</x:v>
      </x:c>
      <x:c r="I134" s="39" t="n">
        <x:f>MAX(0,MIN($G134,10)-MAX($F134,6)+1)*$D134/$E134</x:f>
        <x:v>0</x:v>
      </x:c>
      <x:c r="J134" s="39" t="n">
        <x:f>MAX(0,MIN($G134,15)-MAX($F134,11)+1)*$D134/$E134</x:f>
        <x:v>0</x:v>
      </x:c>
      <x:c r="K134" s="39" t="n">
        <x:f>MAX(0,MIN($G134,20)-MAX($F134,16)+1)*$D134/$E134</x:f>
        <x:v>0</x:v>
      </x:c>
      <x:c r="L134" s="39" t="n">
        <x:f>MAX(0,MIN($G134,25)-MAX($F134,21)+1)*$D134/$E134</x:f>
        <x:v>0</x:v>
      </x:c>
      <x:c r="M134" s="39" t="n">
        <x:f>MAX(0,MIN($G134,30)-MAX($F134,26)+1)*$D134/$E134</x:f>
        <x:v>0</x:v>
      </x:c>
      <x:c r="N134" s="39" t="n">
        <x:f>MAX(0,MIN($G134,35)-MAX($F134,31)+1)*$D134/$E134</x:f>
        <x:v>0</x:v>
      </x:c>
      <x:c r="O134" s="39" t="n">
        <x:f>MAX(0,MIN($G134,40)-MAX($F134,36)+1)*$D134/$E134</x:f>
        <x:v>0</x:v>
      </x:c>
      <x:c r="P134" s="39" t="n">
        <x:f>MAX(0,MIN($G134,45)-MAX($F134,41)+1)*$D134/$E134</x:f>
        <x:v>0</x:v>
      </x:c>
      <x:c r="Q134" s="39" t="n">
        <x:f>MAX(0,MIN($G134,50)-MAX($F134,46)+1)*$D134/$E134</x:f>
        <x:v>0</x:v>
      </x:c>
      <x:c r="R134" s="39" t="n">
        <x:f>MAX(0,MIN($G134,55)-MAX($F134,51)+1)*$D134/$E134</x:f>
        <x:v>0</x:v>
      </x:c>
      <x:c r="S134" s="39" t="n">
        <x:f>MAX(0,MIN($G134,60)-MAX($F134,56)+1)*$D134/$E134</x:f>
        <x:v>0</x:v>
      </x:c>
      <x:c r="T134" s="39" t="n">
        <x:f>MAX(0,MIN($G134,65)-MAX($F134,61)+1)*$D134/$E134</x:f>
        <x:v>0</x:v>
      </x:c>
      <x:c r="U134" s="39" t="n">
        <x:f>MAX(0,MIN($G134,70)-MAX($F134,66)+1)*$D134/$E134</x:f>
        <x:v>0</x:v>
      </x:c>
      <x:c r="V134" s="39" t="n">
        <x:f>MAX(0,MIN($G134,75)-MAX($F134,71)+1)*$D134/$E134</x:f>
        <x:v>0</x:v>
      </x:c>
      <x:c r="W134" s="39" t="n">
        <x:f>MAX(0,MIN($G134,80)-MAX($F134,76)+1)*$D134/$E134</x:f>
        <x:v>0</x:v>
      </x:c>
      <x:c r="X134" s="39" t="n">
        <x:f>MAX(0,MIN($G134,85)-MAX($F134,81)+1)*$D134/$E134</x:f>
        <x:v>0</x:v>
      </x:c>
      <x:c r="Y134" s="39" t="n">
        <x:f>MAX(0,MIN($G134,90)-MAX($F134,86)+1)*$D134/$E134</x:f>
        <x:v>0</x:v>
      </x:c>
      <x:c r="Z134" s="39" t="n">
        <x:f>MAX(0,MIN($G134,95)-MAX($F134,91)+1)*$D134/$E134</x:f>
        <x:v>0</x:v>
      </x:c>
      <x:c r="AA134" s="39" t="n">
        <x:f>MAX(0,MIN($G134,100)-MAX($F134,96)+1)*$D134/$E134</x:f>
        <x:v>0</x:v>
      </x:c>
      <x:c r="AB134" s="39" t="n">
        <x:f>MAX(0,MIN($G134,105)-MAX($F134,101)+1)*$D134/$E134</x:f>
        <x:v>0</x:v>
      </x:c>
      <x:c r="AC134" s="39" t="n">
        <x:f>MAX(0,MIN($G134,110)-MAX($F134,106)+1)*$D134/$E134</x:f>
        <x:v>0</x:v>
      </x:c>
      <x:c r="AD134" s="39" t="n">
        <x:f>MAX(0,MIN($G134,115)-MAX($F134,111)+1)*$D134/$E134</x:f>
        <x:v>0</x:v>
      </x:c>
      <x:c r="AE134" s="39" t="n">
        <x:f>MAX(0,MIN($G134,120)-MAX($F134,116)+1)*$D134/$E134</x:f>
        <x:v>0</x:v>
      </x:c>
      <x:c r="AF134" s="39" t="n">
        <x:f>MAX(0,MIN($G134,125)-MAX($F134,121)+1)*$D134/$E134</x:f>
        <x:v>0</x:v>
      </x:c>
      <x:c r="AG134" s="39" t="n">
        <x:f>MAX(0,MIN($G134,130)-MAX($F134,126)+1)*$D134/$E134</x:f>
        <x:v>0</x:v>
      </x:c>
      <x:c r="AH134" s="39" t="n">
        <x:f>MAX(0,MIN($G134,135)-MAX($F134,131)+1)*$D134/$E134</x:f>
        <x:v>4</x:v>
      </x:c>
      <x:c r="AI134" s="39" t="n">
        <x:f>MAX(0,MIN($G134,140)-MAX($F134,136)+1)*$D134/$E134</x:f>
        <x:v>0</x:v>
      </x:c>
      <x:c r="AJ134" s="39" t="n">
        <x:f>MAX(0,MIN($G134,145)-MAX($F134,141)+1)*$D134/$E134</x:f>
        <x:v>0</x:v>
      </x:c>
      <x:c r="AK134" s="39" t="n">
        <x:f>MAX(0,MIN($G134,150)-MAX($F134,146)+1)*$D134/$E134</x:f>
        <x:v>0</x:v>
      </x:c>
      <x:c r="AL134" s="39" t="n">
        <x:f>MAX(0,MIN($G134,155)-MAX($F134,151)+1)*$D134/$E134</x:f>
        <x:v>0</x:v>
      </x:c>
      <x:c r="AM134" s="39" t="n">
        <x:f>MAX(0,MIN($G134,160)-MAX($F134,156)+1)*$D134/$E134</x:f>
        <x:v>0</x:v>
      </x:c>
      <x:c r="AN134" s="39" t="n">
        <x:f>MAX(0,MIN($G134,165)-MAX($F134,161)+1)*$D134/$E134</x:f>
        <x:v>0</x:v>
      </x:c>
      <x:c r="AO134" s="39" t="n">
        <x:f>MAX(0,MIN($G134,170)-MAX($F134,166)+1)*$D134/$E134</x:f>
        <x:v>0</x:v>
      </x:c>
      <x:c r="AP134" s="39" t="n">
        <x:f>MAX(0,MIN($G134,175)-MAX($F134,171)+1)*$D134/$E134</x:f>
        <x:v>0</x:v>
      </x:c>
      <x:c r="AQ134" s="39" t="n">
        <x:f>MAX(0,MIN($G134,180)-MAX($F134,176)+1)*$D134/$E134</x:f>
        <x:v>0</x:v>
      </x:c>
    </x:row>
    <x:row r="135" ht="27" customHeight="1">
      <x:c r="A135" s="9" t="str">
        <x:v>G4</x:v>
      </x:c>
      <x:c r="B135" s="9" t="str">
        <x:f>'Tasks'!P70</x:f>
        <x:v>HP</x:v>
      </x:c>
      <x:c r="C135" s="9" t="str">
        <x:v>Review</x:v>
      </x:c>
      <x:c r="D135" s="40" t="n">
        <x:f>'Tasks'!Q70</x:f>
        <x:v>2</x:v>
      </x:c>
      <x:c r="E135" s="40" t="n">
        <x:f>'Tasks'!F70</x:f>
        <x:v>1</x:v>
      </x:c>
      <x:c r="F135" s="40" t="n">
        <x:f>'Tasks'!K70</x:f>
        <x:v>133</x:v>
      </x:c>
      <x:c r="G135" s="40" t="n">
        <x:f>'Tasks'!L70</x:f>
        <x:v>133</x:v>
      </x:c>
      <x:c r="H135" s="40" t="n">
        <x:f>MAX(0,MIN($G135,5)-MAX($F135,1)+1)*$D135/$E135</x:f>
        <x:v>0</x:v>
      </x:c>
      <x:c r="I135" s="40" t="n">
        <x:f>MAX(0,MIN($G135,10)-MAX($F135,6)+1)*$D135/$E135</x:f>
        <x:v>0</x:v>
      </x:c>
      <x:c r="J135" s="40" t="n">
        <x:f>MAX(0,MIN($G135,15)-MAX($F135,11)+1)*$D135/$E135</x:f>
        <x:v>0</x:v>
      </x:c>
      <x:c r="K135" s="40" t="n">
        <x:f>MAX(0,MIN($G135,20)-MAX($F135,16)+1)*$D135/$E135</x:f>
        <x:v>0</x:v>
      </x:c>
      <x:c r="L135" s="40" t="n">
        <x:f>MAX(0,MIN($G135,25)-MAX($F135,21)+1)*$D135/$E135</x:f>
        <x:v>0</x:v>
      </x:c>
      <x:c r="M135" s="40" t="n">
        <x:f>MAX(0,MIN($G135,30)-MAX($F135,26)+1)*$D135/$E135</x:f>
        <x:v>0</x:v>
      </x:c>
      <x:c r="N135" s="40" t="n">
        <x:f>MAX(0,MIN($G135,35)-MAX($F135,31)+1)*$D135/$E135</x:f>
        <x:v>0</x:v>
      </x:c>
      <x:c r="O135" s="40" t="n">
        <x:f>MAX(0,MIN($G135,40)-MAX($F135,36)+1)*$D135/$E135</x:f>
        <x:v>0</x:v>
      </x:c>
      <x:c r="P135" s="40" t="n">
        <x:f>MAX(0,MIN($G135,45)-MAX($F135,41)+1)*$D135/$E135</x:f>
        <x:v>0</x:v>
      </x:c>
      <x:c r="Q135" s="40" t="n">
        <x:f>MAX(0,MIN($G135,50)-MAX($F135,46)+1)*$D135/$E135</x:f>
        <x:v>0</x:v>
      </x:c>
      <x:c r="R135" s="40" t="n">
        <x:f>MAX(0,MIN($G135,55)-MAX($F135,51)+1)*$D135/$E135</x:f>
        <x:v>0</x:v>
      </x:c>
      <x:c r="S135" s="40" t="n">
        <x:f>MAX(0,MIN($G135,60)-MAX($F135,56)+1)*$D135/$E135</x:f>
        <x:v>0</x:v>
      </x:c>
      <x:c r="T135" s="40" t="n">
        <x:f>MAX(0,MIN($G135,65)-MAX($F135,61)+1)*$D135/$E135</x:f>
        <x:v>0</x:v>
      </x:c>
      <x:c r="U135" s="40" t="n">
        <x:f>MAX(0,MIN($G135,70)-MAX($F135,66)+1)*$D135/$E135</x:f>
        <x:v>0</x:v>
      </x:c>
      <x:c r="V135" s="40" t="n">
        <x:f>MAX(0,MIN($G135,75)-MAX($F135,71)+1)*$D135/$E135</x:f>
        <x:v>0</x:v>
      </x:c>
      <x:c r="W135" s="40" t="n">
        <x:f>MAX(0,MIN($G135,80)-MAX($F135,76)+1)*$D135/$E135</x:f>
        <x:v>0</x:v>
      </x:c>
      <x:c r="X135" s="40" t="n">
        <x:f>MAX(0,MIN($G135,85)-MAX($F135,81)+1)*$D135/$E135</x:f>
        <x:v>0</x:v>
      </x:c>
      <x:c r="Y135" s="40" t="n">
        <x:f>MAX(0,MIN($G135,90)-MAX($F135,86)+1)*$D135/$E135</x:f>
        <x:v>0</x:v>
      </x:c>
      <x:c r="Z135" s="40" t="n">
        <x:f>MAX(0,MIN($G135,95)-MAX($F135,91)+1)*$D135/$E135</x:f>
        <x:v>0</x:v>
      </x:c>
      <x:c r="AA135" s="40" t="n">
        <x:f>MAX(0,MIN($G135,100)-MAX($F135,96)+1)*$D135/$E135</x:f>
        <x:v>0</x:v>
      </x:c>
      <x:c r="AB135" s="40" t="n">
        <x:f>MAX(0,MIN($G135,105)-MAX($F135,101)+1)*$D135/$E135</x:f>
        <x:v>0</x:v>
      </x:c>
      <x:c r="AC135" s="40" t="n">
        <x:f>MAX(0,MIN($G135,110)-MAX($F135,106)+1)*$D135/$E135</x:f>
        <x:v>0</x:v>
      </x:c>
      <x:c r="AD135" s="40" t="n">
        <x:f>MAX(0,MIN($G135,115)-MAX($F135,111)+1)*$D135/$E135</x:f>
        <x:v>0</x:v>
      </x:c>
      <x:c r="AE135" s="40" t="n">
        <x:f>MAX(0,MIN($G135,120)-MAX($F135,116)+1)*$D135/$E135</x:f>
        <x:v>0</x:v>
      </x:c>
      <x:c r="AF135" s="40" t="n">
        <x:f>MAX(0,MIN($G135,125)-MAX($F135,121)+1)*$D135/$E135</x:f>
        <x:v>0</x:v>
      </x:c>
      <x:c r="AG135" s="40" t="n">
        <x:f>MAX(0,MIN($G135,130)-MAX($F135,126)+1)*$D135/$E135</x:f>
        <x:v>0</x:v>
      </x:c>
      <x:c r="AH135" s="40" t="n">
        <x:f>MAX(0,MIN($G135,135)-MAX($F135,131)+1)*$D135/$E135</x:f>
        <x:v>2</x:v>
      </x:c>
      <x:c r="AI135" s="40" t="n">
        <x:f>MAX(0,MIN($G135,140)-MAX($F135,136)+1)*$D135/$E135</x:f>
        <x:v>0</x:v>
      </x:c>
      <x:c r="AJ135" s="40" t="n">
        <x:f>MAX(0,MIN($G135,145)-MAX($F135,141)+1)*$D135/$E135</x:f>
        <x:v>0</x:v>
      </x:c>
      <x:c r="AK135" s="40" t="n">
        <x:f>MAX(0,MIN($G135,150)-MAX($F135,146)+1)*$D135/$E135</x:f>
        <x:v>0</x:v>
      </x:c>
      <x:c r="AL135" s="40" t="n">
        <x:f>MAX(0,MIN($G135,155)-MAX($F135,151)+1)*$D135/$E135</x:f>
        <x:v>0</x:v>
      </x:c>
      <x:c r="AM135" s="40" t="n">
        <x:f>MAX(0,MIN($G135,160)-MAX($F135,156)+1)*$D135/$E135</x:f>
        <x:v>0</x:v>
      </x:c>
      <x:c r="AN135" s="40" t="n">
        <x:f>MAX(0,MIN($G135,165)-MAX($F135,161)+1)*$D135/$E135</x:f>
        <x:v>0</x:v>
      </x:c>
      <x:c r="AO135" s="40" t="n">
        <x:f>MAX(0,MIN($G135,170)-MAX($F135,166)+1)*$D135/$E135</x:f>
        <x:v>0</x:v>
      </x:c>
      <x:c r="AP135" s="40" t="n">
        <x:f>MAX(0,MIN($G135,175)-MAX($F135,171)+1)*$D135/$E135</x:f>
        <x:v>0</x:v>
      </x:c>
      <x:c r="AQ135" s="40" t="n">
        <x:f>MAX(0,MIN($G135,180)-MAX($F135,176)+1)*$D135/$E135</x:f>
        <x:v>0</x:v>
      </x:c>
    </x:row>
    <x:row r="136" ht="27" customHeight="1">
      <x:c r="A136" s="10" t="str">
        <x:v>J01</x:v>
      </x:c>
      <x:c r="B136" s="10" t="str">
        <x:f>'Tasks'!D71</x:f>
        <x:v>CD</x:v>
      </x:c>
      <x:c r="C136" s="10" t="str">
        <x:v>Owner</x:v>
      </x:c>
      <x:c r="D136" s="39" t="n">
        <x:f>'Tasks'!O71</x:f>
        <x:v>18</x:v>
      </x:c>
      <x:c r="E136" s="39" t="n">
        <x:f>'Tasks'!F71</x:f>
        <x:v>3</x:v>
      </x:c>
      <x:c r="F136" s="39" t="n">
        <x:f>'Tasks'!K71</x:f>
        <x:v>134</x:v>
      </x:c>
      <x:c r="G136" s="39" t="n">
        <x:f>'Tasks'!L71</x:f>
        <x:v>136</x:v>
      </x:c>
      <x:c r="H136" s="39" t="n">
        <x:f>MAX(0,MIN($G136,5)-MAX($F136,1)+1)*$D136/$E136</x:f>
        <x:v>0</x:v>
      </x:c>
      <x:c r="I136" s="39" t="n">
        <x:f>MAX(0,MIN($G136,10)-MAX($F136,6)+1)*$D136/$E136</x:f>
        <x:v>0</x:v>
      </x:c>
      <x:c r="J136" s="39" t="n">
        <x:f>MAX(0,MIN($G136,15)-MAX($F136,11)+1)*$D136/$E136</x:f>
        <x:v>0</x:v>
      </x:c>
      <x:c r="K136" s="39" t="n">
        <x:f>MAX(0,MIN($G136,20)-MAX($F136,16)+1)*$D136/$E136</x:f>
        <x:v>0</x:v>
      </x:c>
      <x:c r="L136" s="39" t="n">
        <x:f>MAX(0,MIN($G136,25)-MAX($F136,21)+1)*$D136/$E136</x:f>
        <x:v>0</x:v>
      </x:c>
      <x:c r="M136" s="39" t="n">
        <x:f>MAX(0,MIN($G136,30)-MAX($F136,26)+1)*$D136/$E136</x:f>
        <x:v>0</x:v>
      </x:c>
      <x:c r="N136" s="39" t="n">
        <x:f>MAX(0,MIN($G136,35)-MAX($F136,31)+1)*$D136/$E136</x:f>
        <x:v>0</x:v>
      </x:c>
      <x:c r="O136" s="39" t="n">
        <x:f>MAX(0,MIN($G136,40)-MAX($F136,36)+1)*$D136/$E136</x:f>
        <x:v>0</x:v>
      </x:c>
      <x:c r="P136" s="39" t="n">
        <x:f>MAX(0,MIN($G136,45)-MAX($F136,41)+1)*$D136/$E136</x:f>
        <x:v>0</x:v>
      </x:c>
      <x:c r="Q136" s="39" t="n">
        <x:f>MAX(0,MIN($G136,50)-MAX($F136,46)+1)*$D136/$E136</x:f>
        <x:v>0</x:v>
      </x:c>
      <x:c r="R136" s="39" t="n">
        <x:f>MAX(0,MIN($G136,55)-MAX($F136,51)+1)*$D136/$E136</x:f>
        <x:v>0</x:v>
      </x:c>
      <x:c r="S136" s="39" t="n">
        <x:f>MAX(0,MIN($G136,60)-MAX($F136,56)+1)*$D136/$E136</x:f>
        <x:v>0</x:v>
      </x:c>
      <x:c r="T136" s="39" t="n">
        <x:f>MAX(0,MIN($G136,65)-MAX($F136,61)+1)*$D136/$E136</x:f>
        <x:v>0</x:v>
      </x:c>
      <x:c r="U136" s="39" t="n">
        <x:f>MAX(0,MIN($G136,70)-MAX($F136,66)+1)*$D136/$E136</x:f>
        <x:v>0</x:v>
      </x:c>
      <x:c r="V136" s="39" t="n">
        <x:f>MAX(0,MIN($G136,75)-MAX($F136,71)+1)*$D136/$E136</x:f>
        <x:v>0</x:v>
      </x:c>
      <x:c r="W136" s="39" t="n">
        <x:f>MAX(0,MIN($G136,80)-MAX($F136,76)+1)*$D136/$E136</x:f>
        <x:v>0</x:v>
      </x:c>
      <x:c r="X136" s="39" t="n">
        <x:f>MAX(0,MIN($G136,85)-MAX($F136,81)+1)*$D136/$E136</x:f>
        <x:v>0</x:v>
      </x:c>
      <x:c r="Y136" s="39" t="n">
        <x:f>MAX(0,MIN($G136,90)-MAX($F136,86)+1)*$D136/$E136</x:f>
        <x:v>0</x:v>
      </x:c>
      <x:c r="Z136" s="39" t="n">
        <x:f>MAX(0,MIN($G136,95)-MAX($F136,91)+1)*$D136/$E136</x:f>
        <x:v>0</x:v>
      </x:c>
      <x:c r="AA136" s="39" t="n">
        <x:f>MAX(0,MIN($G136,100)-MAX($F136,96)+1)*$D136/$E136</x:f>
        <x:v>0</x:v>
      </x:c>
      <x:c r="AB136" s="39" t="n">
        <x:f>MAX(0,MIN($G136,105)-MAX($F136,101)+1)*$D136/$E136</x:f>
        <x:v>0</x:v>
      </x:c>
      <x:c r="AC136" s="39" t="n">
        <x:f>MAX(0,MIN($G136,110)-MAX($F136,106)+1)*$D136/$E136</x:f>
        <x:v>0</x:v>
      </x:c>
      <x:c r="AD136" s="39" t="n">
        <x:f>MAX(0,MIN($G136,115)-MAX($F136,111)+1)*$D136/$E136</x:f>
        <x:v>0</x:v>
      </x:c>
      <x:c r="AE136" s="39" t="n">
        <x:f>MAX(0,MIN($G136,120)-MAX($F136,116)+1)*$D136/$E136</x:f>
        <x:v>0</x:v>
      </x:c>
      <x:c r="AF136" s="39" t="n">
        <x:f>MAX(0,MIN($G136,125)-MAX($F136,121)+1)*$D136/$E136</x:f>
        <x:v>0</x:v>
      </x:c>
      <x:c r="AG136" s="39" t="n">
        <x:f>MAX(0,MIN($G136,130)-MAX($F136,126)+1)*$D136/$E136</x:f>
        <x:v>0</x:v>
      </x:c>
      <x:c r="AH136" s="39" t="n">
        <x:f>MAX(0,MIN($G136,135)-MAX($F136,131)+1)*$D136/$E136</x:f>
        <x:v>12</x:v>
      </x:c>
      <x:c r="AI136" s="39" t="n">
        <x:f>MAX(0,MIN($G136,140)-MAX($F136,136)+1)*$D136/$E136</x:f>
        <x:v>6</x:v>
      </x:c>
      <x:c r="AJ136" s="39" t="n">
        <x:f>MAX(0,MIN($G136,145)-MAX($F136,141)+1)*$D136/$E136</x:f>
        <x:v>0</x:v>
      </x:c>
      <x:c r="AK136" s="39" t="n">
        <x:f>MAX(0,MIN($G136,150)-MAX($F136,146)+1)*$D136/$E136</x:f>
        <x:v>0</x:v>
      </x:c>
      <x:c r="AL136" s="39" t="n">
        <x:f>MAX(0,MIN($G136,155)-MAX($F136,151)+1)*$D136/$E136</x:f>
        <x:v>0</x:v>
      </x:c>
      <x:c r="AM136" s="39" t="n">
        <x:f>MAX(0,MIN($G136,160)-MAX($F136,156)+1)*$D136/$E136</x:f>
        <x:v>0</x:v>
      </x:c>
      <x:c r="AN136" s="39" t="n">
        <x:f>MAX(0,MIN($G136,165)-MAX($F136,161)+1)*$D136/$E136</x:f>
        <x:v>0</x:v>
      </x:c>
      <x:c r="AO136" s="39" t="n">
        <x:f>MAX(0,MIN($G136,170)-MAX($F136,166)+1)*$D136/$E136</x:f>
        <x:v>0</x:v>
      </x:c>
      <x:c r="AP136" s="39" t="n">
        <x:f>MAX(0,MIN($G136,175)-MAX($F136,171)+1)*$D136/$E136</x:f>
        <x:v>0</x:v>
      </x:c>
      <x:c r="AQ136" s="39" t="n">
        <x:f>MAX(0,MIN($G136,180)-MAX($F136,176)+1)*$D136/$E136</x:f>
        <x:v>0</x:v>
      </x:c>
    </x:row>
    <x:row r="137" ht="27" customHeight="1">
      <x:c r="A137" s="9" t="str">
        <x:v>J01</x:v>
      </x:c>
      <x:c r="B137" s="9" t="str">
        <x:f>'Tasks'!P71</x:f>
        <x:v>TD</x:v>
      </x:c>
      <x:c r="C137" s="9" t="str">
        <x:v>Review</x:v>
      </x:c>
      <x:c r="D137" s="40" t="n">
        <x:f>'Tasks'!Q71</x:f>
        <x:v>4</x:v>
      </x:c>
      <x:c r="E137" s="40" t="n">
        <x:f>'Tasks'!F71</x:f>
        <x:v>3</x:v>
      </x:c>
      <x:c r="F137" s="40" t="n">
        <x:f>'Tasks'!K71</x:f>
        <x:v>134</x:v>
      </x:c>
      <x:c r="G137" s="40" t="n">
        <x:f>'Tasks'!L71</x:f>
        <x:v>136</x:v>
      </x:c>
      <x:c r="H137" s="40" t="n">
        <x:f>MAX(0,MIN($G137,5)-MAX($F137,1)+1)*$D137/$E137</x:f>
        <x:v>0</x:v>
      </x:c>
      <x:c r="I137" s="40" t="n">
        <x:f>MAX(0,MIN($G137,10)-MAX($F137,6)+1)*$D137/$E137</x:f>
        <x:v>0</x:v>
      </x:c>
      <x:c r="J137" s="40" t="n">
        <x:f>MAX(0,MIN($G137,15)-MAX($F137,11)+1)*$D137/$E137</x:f>
        <x:v>0</x:v>
      </x:c>
      <x:c r="K137" s="40" t="n">
        <x:f>MAX(0,MIN($G137,20)-MAX($F137,16)+1)*$D137/$E137</x:f>
        <x:v>0</x:v>
      </x:c>
      <x:c r="L137" s="40" t="n">
        <x:f>MAX(0,MIN($G137,25)-MAX($F137,21)+1)*$D137/$E137</x:f>
        <x:v>0</x:v>
      </x:c>
      <x:c r="M137" s="40" t="n">
        <x:f>MAX(0,MIN($G137,30)-MAX($F137,26)+1)*$D137/$E137</x:f>
        <x:v>0</x:v>
      </x:c>
      <x:c r="N137" s="40" t="n">
        <x:f>MAX(0,MIN($G137,35)-MAX($F137,31)+1)*$D137/$E137</x:f>
        <x:v>0</x:v>
      </x:c>
      <x:c r="O137" s="40" t="n">
        <x:f>MAX(0,MIN($G137,40)-MAX($F137,36)+1)*$D137/$E137</x:f>
        <x:v>0</x:v>
      </x:c>
      <x:c r="P137" s="40" t="n">
        <x:f>MAX(0,MIN($G137,45)-MAX($F137,41)+1)*$D137/$E137</x:f>
        <x:v>0</x:v>
      </x:c>
      <x:c r="Q137" s="40" t="n">
        <x:f>MAX(0,MIN($G137,50)-MAX($F137,46)+1)*$D137/$E137</x:f>
        <x:v>0</x:v>
      </x:c>
      <x:c r="R137" s="40" t="n">
        <x:f>MAX(0,MIN($G137,55)-MAX($F137,51)+1)*$D137/$E137</x:f>
        <x:v>0</x:v>
      </x:c>
      <x:c r="S137" s="40" t="n">
        <x:f>MAX(0,MIN($G137,60)-MAX($F137,56)+1)*$D137/$E137</x:f>
        <x:v>0</x:v>
      </x:c>
      <x:c r="T137" s="40" t="n">
        <x:f>MAX(0,MIN($G137,65)-MAX($F137,61)+1)*$D137/$E137</x:f>
        <x:v>0</x:v>
      </x:c>
      <x:c r="U137" s="40" t="n">
        <x:f>MAX(0,MIN($G137,70)-MAX($F137,66)+1)*$D137/$E137</x:f>
        <x:v>0</x:v>
      </x:c>
      <x:c r="V137" s="40" t="n">
        <x:f>MAX(0,MIN($G137,75)-MAX($F137,71)+1)*$D137/$E137</x:f>
        <x:v>0</x:v>
      </x:c>
      <x:c r="W137" s="40" t="n">
        <x:f>MAX(0,MIN($G137,80)-MAX($F137,76)+1)*$D137/$E137</x:f>
        <x:v>0</x:v>
      </x:c>
      <x:c r="X137" s="40" t="n">
        <x:f>MAX(0,MIN($G137,85)-MAX($F137,81)+1)*$D137/$E137</x:f>
        <x:v>0</x:v>
      </x:c>
      <x:c r="Y137" s="40" t="n">
        <x:f>MAX(0,MIN($G137,90)-MAX($F137,86)+1)*$D137/$E137</x:f>
        <x:v>0</x:v>
      </x:c>
      <x:c r="Z137" s="40" t="n">
        <x:f>MAX(0,MIN($G137,95)-MAX($F137,91)+1)*$D137/$E137</x:f>
        <x:v>0</x:v>
      </x:c>
      <x:c r="AA137" s="40" t="n">
        <x:f>MAX(0,MIN($G137,100)-MAX($F137,96)+1)*$D137/$E137</x:f>
        <x:v>0</x:v>
      </x:c>
      <x:c r="AB137" s="40" t="n">
        <x:f>MAX(0,MIN($G137,105)-MAX($F137,101)+1)*$D137/$E137</x:f>
        <x:v>0</x:v>
      </x:c>
      <x:c r="AC137" s="40" t="n">
        <x:f>MAX(0,MIN($G137,110)-MAX($F137,106)+1)*$D137/$E137</x:f>
        <x:v>0</x:v>
      </x:c>
      <x:c r="AD137" s="40" t="n">
        <x:f>MAX(0,MIN($G137,115)-MAX($F137,111)+1)*$D137/$E137</x:f>
        <x:v>0</x:v>
      </x:c>
      <x:c r="AE137" s="40" t="n">
        <x:f>MAX(0,MIN($G137,120)-MAX($F137,116)+1)*$D137/$E137</x:f>
        <x:v>0</x:v>
      </x:c>
      <x:c r="AF137" s="40" t="n">
        <x:f>MAX(0,MIN($G137,125)-MAX($F137,121)+1)*$D137/$E137</x:f>
        <x:v>0</x:v>
      </x:c>
      <x:c r="AG137" s="40" t="n">
        <x:f>MAX(0,MIN($G137,130)-MAX($F137,126)+1)*$D137/$E137</x:f>
        <x:v>0</x:v>
      </x:c>
      <x:c r="AH137" s="40" t="n">
        <x:f>MAX(0,MIN($G137,135)-MAX($F137,131)+1)*$D137/$E137</x:f>
        <x:v>2.6666666666666665</x:v>
      </x:c>
      <x:c r="AI137" s="40" t="n">
        <x:f>MAX(0,MIN($G137,140)-MAX($F137,136)+1)*$D137/$E137</x:f>
        <x:v>1.3333333333333333</x:v>
      </x:c>
      <x:c r="AJ137" s="40" t="n">
        <x:f>MAX(0,MIN($G137,145)-MAX($F137,141)+1)*$D137/$E137</x:f>
        <x:v>0</x:v>
      </x:c>
      <x:c r="AK137" s="40" t="n">
        <x:f>MAX(0,MIN($G137,150)-MAX($F137,146)+1)*$D137/$E137</x:f>
        <x:v>0</x:v>
      </x:c>
      <x:c r="AL137" s="40" t="n">
        <x:f>MAX(0,MIN($G137,155)-MAX($F137,151)+1)*$D137/$E137</x:f>
        <x:v>0</x:v>
      </x:c>
      <x:c r="AM137" s="40" t="n">
        <x:f>MAX(0,MIN($G137,160)-MAX($F137,156)+1)*$D137/$E137</x:f>
        <x:v>0</x:v>
      </x:c>
      <x:c r="AN137" s="40" t="n">
        <x:f>MAX(0,MIN($G137,165)-MAX($F137,161)+1)*$D137/$E137</x:f>
        <x:v>0</x:v>
      </x:c>
      <x:c r="AO137" s="40" t="n">
        <x:f>MAX(0,MIN($G137,170)-MAX($F137,166)+1)*$D137/$E137</x:f>
        <x:v>0</x:v>
      </x:c>
      <x:c r="AP137" s="40" t="n">
        <x:f>MAX(0,MIN($G137,175)-MAX($F137,171)+1)*$D137/$E137</x:f>
        <x:v>0</x:v>
      </x:c>
      <x:c r="AQ137" s="40" t="n">
        <x:f>MAX(0,MIN($G137,180)-MAX($F137,176)+1)*$D137/$E137</x:f>
        <x:v>0</x:v>
      </x:c>
    </x:row>
    <x:row r="138" ht="27" customHeight="1">
      <x:c r="A138" s="10" t="str">
        <x:v>J02</x:v>
      </x:c>
      <x:c r="B138" s="10" t="str">
        <x:f>'Tasks'!D72</x:f>
        <x:v>PAE</x:v>
      </x:c>
      <x:c r="C138" s="10" t="str">
        <x:v>Owner</x:v>
      </x:c>
      <x:c r="D138" s="39" t="n">
        <x:f>'Tasks'!O72</x:f>
        <x:v>90</x:v>
      </x:c>
      <x:c r="E138" s="39" t="n">
        <x:f>'Tasks'!F72</x:f>
        <x:v>14</x:v>
      </x:c>
      <x:c r="F138" s="39" t="n">
        <x:f>'Tasks'!K72</x:f>
        <x:v>137</x:v>
      </x:c>
      <x:c r="G138" s="39" t="n">
        <x:f>'Tasks'!L72</x:f>
        <x:v>150</x:v>
      </x:c>
      <x:c r="H138" s="39" t="n">
        <x:f>MAX(0,MIN($G138,5)-MAX($F138,1)+1)*$D138/$E138</x:f>
        <x:v>0</x:v>
      </x:c>
      <x:c r="I138" s="39" t="n">
        <x:f>MAX(0,MIN($G138,10)-MAX($F138,6)+1)*$D138/$E138</x:f>
        <x:v>0</x:v>
      </x:c>
      <x:c r="J138" s="39" t="n">
        <x:f>MAX(0,MIN($G138,15)-MAX($F138,11)+1)*$D138/$E138</x:f>
        <x:v>0</x:v>
      </x:c>
      <x:c r="K138" s="39" t="n">
        <x:f>MAX(0,MIN($G138,20)-MAX($F138,16)+1)*$D138/$E138</x:f>
        <x:v>0</x:v>
      </x:c>
      <x:c r="L138" s="39" t="n">
        <x:f>MAX(0,MIN($G138,25)-MAX($F138,21)+1)*$D138/$E138</x:f>
        <x:v>0</x:v>
      </x:c>
      <x:c r="M138" s="39" t="n">
        <x:f>MAX(0,MIN($G138,30)-MAX($F138,26)+1)*$D138/$E138</x:f>
        <x:v>0</x:v>
      </x:c>
      <x:c r="N138" s="39" t="n">
        <x:f>MAX(0,MIN($G138,35)-MAX($F138,31)+1)*$D138/$E138</x:f>
        <x:v>0</x:v>
      </x:c>
      <x:c r="O138" s="39" t="n">
        <x:f>MAX(0,MIN($G138,40)-MAX($F138,36)+1)*$D138/$E138</x:f>
        <x:v>0</x:v>
      </x:c>
      <x:c r="P138" s="39" t="n">
        <x:f>MAX(0,MIN($G138,45)-MAX($F138,41)+1)*$D138/$E138</x:f>
        <x:v>0</x:v>
      </x:c>
      <x:c r="Q138" s="39" t="n">
        <x:f>MAX(0,MIN($G138,50)-MAX($F138,46)+1)*$D138/$E138</x:f>
        <x:v>0</x:v>
      </x:c>
      <x:c r="R138" s="39" t="n">
        <x:f>MAX(0,MIN($G138,55)-MAX($F138,51)+1)*$D138/$E138</x:f>
        <x:v>0</x:v>
      </x:c>
      <x:c r="S138" s="39" t="n">
        <x:f>MAX(0,MIN($G138,60)-MAX($F138,56)+1)*$D138/$E138</x:f>
        <x:v>0</x:v>
      </x:c>
      <x:c r="T138" s="39" t="n">
        <x:f>MAX(0,MIN($G138,65)-MAX($F138,61)+1)*$D138/$E138</x:f>
        <x:v>0</x:v>
      </x:c>
      <x:c r="U138" s="39" t="n">
        <x:f>MAX(0,MIN($G138,70)-MAX($F138,66)+1)*$D138/$E138</x:f>
        <x:v>0</x:v>
      </x:c>
      <x:c r="V138" s="39" t="n">
        <x:f>MAX(0,MIN($G138,75)-MAX($F138,71)+1)*$D138/$E138</x:f>
        <x:v>0</x:v>
      </x:c>
      <x:c r="W138" s="39" t="n">
        <x:f>MAX(0,MIN($G138,80)-MAX($F138,76)+1)*$D138/$E138</x:f>
        <x:v>0</x:v>
      </x:c>
      <x:c r="X138" s="39" t="n">
        <x:f>MAX(0,MIN($G138,85)-MAX($F138,81)+1)*$D138/$E138</x:f>
        <x:v>0</x:v>
      </x:c>
      <x:c r="Y138" s="39" t="n">
        <x:f>MAX(0,MIN($G138,90)-MAX($F138,86)+1)*$D138/$E138</x:f>
        <x:v>0</x:v>
      </x:c>
      <x:c r="Z138" s="39" t="n">
        <x:f>MAX(0,MIN($G138,95)-MAX($F138,91)+1)*$D138/$E138</x:f>
        <x:v>0</x:v>
      </x:c>
      <x:c r="AA138" s="39" t="n">
        <x:f>MAX(0,MIN($G138,100)-MAX($F138,96)+1)*$D138/$E138</x:f>
        <x:v>0</x:v>
      </x:c>
      <x:c r="AB138" s="39" t="n">
        <x:f>MAX(0,MIN($G138,105)-MAX($F138,101)+1)*$D138/$E138</x:f>
        <x:v>0</x:v>
      </x:c>
      <x:c r="AC138" s="39" t="n">
        <x:f>MAX(0,MIN($G138,110)-MAX($F138,106)+1)*$D138/$E138</x:f>
        <x:v>0</x:v>
      </x:c>
      <x:c r="AD138" s="39" t="n">
        <x:f>MAX(0,MIN($G138,115)-MAX($F138,111)+1)*$D138/$E138</x:f>
        <x:v>0</x:v>
      </x:c>
      <x:c r="AE138" s="39" t="n">
        <x:f>MAX(0,MIN($G138,120)-MAX($F138,116)+1)*$D138/$E138</x:f>
        <x:v>0</x:v>
      </x:c>
      <x:c r="AF138" s="39" t="n">
        <x:f>MAX(0,MIN($G138,125)-MAX($F138,121)+1)*$D138/$E138</x:f>
        <x:v>0</x:v>
      </x:c>
      <x:c r="AG138" s="39" t="n">
        <x:f>MAX(0,MIN($G138,130)-MAX($F138,126)+1)*$D138/$E138</x:f>
        <x:v>0</x:v>
      </x:c>
      <x:c r="AH138" s="39" t="n">
        <x:f>MAX(0,MIN($G138,135)-MAX($F138,131)+1)*$D138/$E138</x:f>
        <x:v>0</x:v>
      </x:c>
      <x:c r="AI138" s="39" t="n">
        <x:f>MAX(0,MIN($G138,140)-MAX($F138,136)+1)*$D138/$E138</x:f>
        <x:v>25.714285714285715</x:v>
      </x:c>
      <x:c r="AJ138" s="39" t="n">
        <x:f>MAX(0,MIN($G138,145)-MAX($F138,141)+1)*$D138/$E138</x:f>
        <x:v>32.142857142857146</x:v>
      </x:c>
      <x:c r="AK138" s="39" t="n">
        <x:f>MAX(0,MIN($G138,150)-MAX($F138,146)+1)*$D138/$E138</x:f>
        <x:v>32.142857142857146</x:v>
      </x:c>
      <x:c r="AL138" s="39" t="n">
        <x:f>MAX(0,MIN($G138,155)-MAX($F138,151)+1)*$D138/$E138</x:f>
        <x:v>0</x:v>
      </x:c>
      <x:c r="AM138" s="39" t="n">
        <x:f>MAX(0,MIN($G138,160)-MAX($F138,156)+1)*$D138/$E138</x:f>
        <x:v>0</x:v>
      </x:c>
      <x:c r="AN138" s="39" t="n">
        <x:f>MAX(0,MIN($G138,165)-MAX($F138,161)+1)*$D138/$E138</x:f>
        <x:v>0</x:v>
      </x:c>
      <x:c r="AO138" s="39" t="n">
        <x:f>MAX(0,MIN($G138,170)-MAX($F138,166)+1)*$D138/$E138</x:f>
        <x:v>0</x:v>
      </x:c>
      <x:c r="AP138" s="39" t="n">
        <x:f>MAX(0,MIN($G138,175)-MAX($F138,171)+1)*$D138/$E138</x:f>
        <x:v>0</x:v>
      </x:c>
      <x:c r="AQ138" s="39" t="n">
        <x:f>MAX(0,MIN($G138,180)-MAX($F138,176)+1)*$D138/$E138</x:f>
        <x:v>0</x:v>
      </x:c>
    </x:row>
    <x:row r="139" ht="27" customHeight="1">
      <x:c r="A139" s="9" t="str">
        <x:v>J02</x:v>
      </x:c>
      <x:c r="B139" s="9" t="str">
        <x:f>'Tasks'!P72</x:f>
        <x:v>EXP</x:v>
      </x:c>
      <x:c r="C139" s="9" t="str">
        <x:v>Review</x:v>
      </x:c>
      <x:c r="D139" s="40" t="n">
        <x:f>'Tasks'!Q72</x:f>
        <x:v>80</x:v>
      </x:c>
      <x:c r="E139" s="40" t="n">
        <x:f>'Tasks'!F72</x:f>
        <x:v>14</x:v>
      </x:c>
      <x:c r="F139" s="40" t="n">
        <x:f>'Tasks'!K72</x:f>
        <x:v>137</x:v>
      </x:c>
      <x:c r="G139" s="40" t="n">
        <x:f>'Tasks'!L72</x:f>
        <x:v>150</x:v>
      </x:c>
      <x:c r="H139" s="40" t="n">
        <x:f>MAX(0,MIN($G139,5)-MAX($F139,1)+1)*$D139/$E139</x:f>
        <x:v>0</x:v>
      </x:c>
      <x:c r="I139" s="40" t="n">
        <x:f>MAX(0,MIN($G139,10)-MAX($F139,6)+1)*$D139/$E139</x:f>
        <x:v>0</x:v>
      </x:c>
      <x:c r="J139" s="40" t="n">
        <x:f>MAX(0,MIN($G139,15)-MAX($F139,11)+1)*$D139/$E139</x:f>
        <x:v>0</x:v>
      </x:c>
      <x:c r="K139" s="40" t="n">
        <x:f>MAX(0,MIN($G139,20)-MAX($F139,16)+1)*$D139/$E139</x:f>
        <x:v>0</x:v>
      </x:c>
      <x:c r="L139" s="40" t="n">
        <x:f>MAX(0,MIN($G139,25)-MAX($F139,21)+1)*$D139/$E139</x:f>
        <x:v>0</x:v>
      </x:c>
      <x:c r="M139" s="40" t="n">
        <x:f>MAX(0,MIN($G139,30)-MAX($F139,26)+1)*$D139/$E139</x:f>
        <x:v>0</x:v>
      </x:c>
      <x:c r="N139" s="40" t="n">
        <x:f>MAX(0,MIN($G139,35)-MAX($F139,31)+1)*$D139/$E139</x:f>
        <x:v>0</x:v>
      </x:c>
      <x:c r="O139" s="40" t="n">
        <x:f>MAX(0,MIN($G139,40)-MAX($F139,36)+1)*$D139/$E139</x:f>
        <x:v>0</x:v>
      </x:c>
      <x:c r="P139" s="40" t="n">
        <x:f>MAX(0,MIN($G139,45)-MAX($F139,41)+1)*$D139/$E139</x:f>
        <x:v>0</x:v>
      </x:c>
      <x:c r="Q139" s="40" t="n">
        <x:f>MAX(0,MIN($G139,50)-MAX($F139,46)+1)*$D139/$E139</x:f>
        <x:v>0</x:v>
      </x:c>
      <x:c r="R139" s="40" t="n">
        <x:f>MAX(0,MIN($G139,55)-MAX($F139,51)+1)*$D139/$E139</x:f>
        <x:v>0</x:v>
      </x:c>
      <x:c r="S139" s="40" t="n">
        <x:f>MAX(0,MIN($G139,60)-MAX($F139,56)+1)*$D139/$E139</x:f>
        <x:v>0</x:v>
      </x:c>
      <x:c r="T139" s="40" t="n">
        <x:f>MAX(0,MIN($G139,65)-MAX($F139,61)+1)*$D139/$E139</x:f>
        <x:v>0</x:v>
      </x:c>
      <x:c r="U139" s="40" t="n">
        <x:f>MAX(0,MIN($G139,70)-MAX($F139,66)+1)*$D139/$E139</x:f>
        <x:v>0</x:v>
      </x:c>
      <x:c r="V139" s="40" t="n">
        <x:f>MAX(0,MIN($G139,75)-MAX($F139,71)+1)*$D139/$E139</x:f>
        <x:v>0</x:v>
      </x:c>
      <x:c r="W139" s="40" t="n">
        <x:f>MAX(0,MIN($G139,80)-MAX($F139,76)+1)*$D139/$E139</x:f>
        <x:v>0</x:v>
      </x:c>
      <x:c r="X139" s="40" t="n">
        <x:f>MAX(0,MIN($G139,85)-MAX($F139,81)+1)*$D139/$E139</x:f>
        <x:v>0</x:v>
      </x:c>
      <x:c r="Y139" s="40" t="n">
        <x:f>MAX(0,MIN($G139,90)-MAX($F139,86)+1)*$D139/$E139</x:f>
        <x:v>0</x:v>
      </x:c>
      <x:c r="Z139" s="40" t="n">
        <x:f>MAX(0,MIN($G139,95)-MAX($F139,91)+1)*$D139/$E139</x:f>
        <x:v>0</x:v>
      </x:c>
      <x:c r="AA139" s="40" t="n">
        <x:f>MAX(0,MIN($G139,100)-MAX($F139,96)+1)*$D139/$E139</x:f>
        <x:v>0</x:v>
      </x:c>
      <x:c r="AB139" s="40" t="n">
        <x:f>MAX(0,MIN($G139,105)-MAX($F139,101)+1)*$D139/$E139</x:f>
        <x:v>0</x:v>
      </x:c>
      <x:c r="AC139" s="40" t="n">
        <x:f>MAX(0,MIN($G139,110)-MAX($F139,106)+1)*$D139/$E139</x:f>
        <x:v>0</x:v>
      </x:c>
      <x:c r="AD139" s="40" t="n">
        <x:f>MAX(0,MIN($G139,115)-MAX($F139,111)+1)*$D139/$E139</x:f>
        <x:v>0</x:v>
      </x:c>
      <x:c r="AE139" s="40" t="n">
        <x:f>MAX(0,MIN($G139,120)-MAX($F139,116)+1)*$D139/$E139</x:f>
        <x:v>0</x:v>
      </x:c>
      <x:c r="AF139" s="40" t="n">
        <x:f>MAX(0,MIN($G139,125)-MAX($F139,121)+1)*$D139/$E139</x:f>
        <x:v>0</x:v>
      </x:c>
      <x:c r="AG139" s="40" t="n">
        <x:f>MAX(0,MIN($G139,130)-MAX($F139,126)+1)*$D139/$E139</x:f>
        <x:v>0</x:v>
      </x:c>
      <x:c r="AH139" s="40" t="n">
        <x:f>MAX(0,MIN($G139,135)-MAX($F139,131)+1)*$D139/$E139</x:f>
        <x:v>0</x:v>
      </x:c>
      <x:c r="AI139" s="40" t="n">
        <x:f>MAX(0,MIN($G139,140)-MAX($F139,136)+1)*$D139/$E139</x:f>
        <x:v>22.857142857142858</x:v>
      </x:c>
      <x:c r="AJ139" s="40" t="n">
        <x:f>MAX(0,MIN($G139,145)-MAX($F139,141)+1)*$D139/$E139</x:f>
        <x:v>28.571428571428573</x:v>
      </x:c>
      <x:c r="AK139" s="40" t="n">
        <x:f>MAX(0,MIN($G139,150)-MAX($F139,146)+1)*$D139/$E139</x:f>
        <x:v>28.571428571428573</x:v>
      </x:c>
      <x:c r="AL139" s="40" t="n">
        <x:f>MAX(0,MIN($G139,155)-MAX($F139,151)+1)*$D139/$E139</x:f>
        <x:v>0</x:v>
      </x:c>
      <x:c r="AM139" s="40" t="n">
        <x:f>MAX(0,MIN($G139,160)-MAX($F139,156)+1)*$D139/$E139</x:f>
        <x:v>0</x:v>
      </x:c>
      <x:c r="AN139" s="40" t="n">
        <x:f>MAX(0,MIN($G139,165)-MAX($F139,161)+1)*$D139/$E139</x:f>
        <x:v>0</x:v>
      </x:c>
      <x:c r="AO139" s="40" t="n">
        <x:f>MAX(0,MIN($G139,170)-MAX($F139,166)+1)*$D139/$E139</x:f>
        <x:v>0</x:v>
      </x:c>
      <x:c r="AP139" s="40" t="n">
        <x:f>MAX(0,MIN($G139,175)-MAX($F139,171)+1)*$D139/$E139</x:f>
        <x:v>0</x:v>
      </x:c>
      <x:c r="AQ139" s="40" t="n">
        <x:f>MAX(0,MIN($G139,180)-MAX($F139,176)+1)*$D139/$E139</x:f>
        <x:v>0</x:v>
      </x:c>
    </x:row>
    <x:row r="140" ht="27" customHeight="1">
      <x:c r="A140" s="10" t="str">
        <x:v>J03</x:v>
      </x:c>
      <x:c r="B140" s="10" t="str">
        <x:f>'Tasks'!D73</x:f>
        <x:v>HP</x:v>
      </x:c>
      <x:c r="C140" s="10" t="str">
        <x:v>Owner</x:v>
      </x:c>
      <x:c r="D140" s="39" t="n">
        <x:f>'Tasks'!O73</x:f>
        <x:v>20</x:v>
      </x:c>
      <x:c r="E140" s="39" t="n">
        <x:f>'Tasks'!F73</x:f>
        <x:v>4</x:v>
      </x:c>
      <x:c r="F140" s="39" t="n">
        <x:f>'Tasks'!K73</x:f>
        <x:v>137</x:v>
      </x:c>
      <x:c r="G140" s="39" t="n">
        <x:f>'Tasks'!L73</x:f>
        <x:v>140</x:v>
      </x:c>
      <x:c r="H140" s="39" t="n">
        <x:f>MAX(0,MIN($G140,5)-MAX($F140,1)+1)*$D140/$E140</x:f>
        <x:v>0</x:v>
      </x:c>
      <x:c r="I140" s="39" t="n">
        <x:f>MAX(0,MIN($G140,10)-MAX($F140,6)+1)*$D140/$E140</x:f>
        <x:v>0</x:v>
      </x:c>
      <x:c r="J140" s="39" t="n">
        <x:f>MAX(0,MIN($G140,15)-MAX($F140,11)+1)*$D140/$E140</x:f>
        <x:v>0</x:v>
      </x:c>
      <x:c r="K140" s="39" t="n">
        <x:f>MAX(0,MIN($G140,20)-MAX($F140,16)+1)*$D140/$E140</x:f>
        <x:v>0</x:v>
      </x:c>
      <x:c r="L140" s="39" t="n">
        <x:f>MAX(0,MIN($G140,25)-MAX($F140,21)+1)*$D140/$E140</x:f>
        <x:v>0</x:v>
      </x:c>
      <x:c r="M140" s="39" t="n">
        <x:f>MAX(0,MIN($G140,30)-MAX($F140,26)+1)*$D140/$E140</x:f>
        <x:v>0</x:v>
      </x:c>
      <x:c r="N140" s="39" t="n">
        <x:f>MAX(0,MIN($G140,35)-MAX($F140,31)+1)*$D140/$E140</x:f>
        <x:v>0</x:v>
      </x:c>
      <x:c r="O140" s="39" t="n">
        <x:f>MAX(0,MIN($G140,40)-MAX($F140,36)+1)*$D140/$E140</x:f>
        <x:v>0</x:v>
      </x:c>
      <x:c r="P140" s="39" t="n">
        <x:f>MAX(0,MIN($G140,45)-MAX($F140,41)+1)*$D140/$E140</x:f>
        <x:v>0</x:v>
      </x:c>
      <x:c r="Q140" s="39" t="n">
        <x:f>MAX(0,MIN($G140,50)-MAX($F140,46)+1)*$D140/$E140</x:f>
        <x:v>0</x:v>
      </x:c>
      <x:c r="R140" s="39" t="n">
        <x:f>MAX(0,MIN($G140,55)-MAX($F140,51)+1)*$D140/$E140</x:f>
        <x:v>0</x:v>
      </x:c>
      <x:c r="S140" s="39" t="n">
        <x:f>MAX(0,MIN($G140,60)-MAX($F140,56)+1)*$D140/$E140</x:f>
        <x:v>0</x:v>
      </x:c>
      <x:c r="T140" s="39" t="n">
        <x:f>MAX(0,MIN($G140,65)-MAX($F140,61)+1)*$D140/$E140</x:f>
        <x:v>0</x:v>
      </x:c>
      <x:c r="U140" s="39" t="n">
        <x:f>MAX(0,MIN($G140,70)-MAX($F140,66)+1)*$D140/$E140</x:f>
        <x:v>0</x:v>
      </x:c>
      <x:c r="V140" s="39" t="n">
        <x:f>MAX(0,MIN($G140,75)-MAX($F140,71)+1)*$D140/$E140</x:f>
        <x:v>0</x:v>
      </x:c>
      <x:c r="W140" s="39" t="n">
        <x:f>MAX(0,MIN($G140,80)-MAX($F140,76)+1)*$D140/$E140</x:f>
        <x:v>0</x:v>
      </x:c>
      <x:c r="X140" s="39" t="n">
        <x:f>MAX(0,MIN($G140,85)-MAX($F140,81)+1)*$D140/$E140</x:f>
        <x:v>0</x:v>
      </x:c>
      <x:c r="Y140" s="39" t="n">
        <x:f>MAX(0,MIN($G140,90)-MAX($F140,86)+1)*$D140/$E140</x:f>
        <x:v>0</x:v>
      </x:c>
      <x:c r="Z140" s="39" t="n">
        <x:f>MAX(0,MIN($G140,95)-MAX($F140,91)+1)*$D140/$E140</x:f>
        <x:v>0</x:v>
      </x:c>
      <x:c r="AA140" s="39" t="n">
        <x:f>MAX(0,MIN($G140,100)-MAX($F140,96)+1)*$D140/$E140</x:f>
        <x:v>0</x:v>
      </x:c>
      <x:c r="AB140" s="39" t="n">
        <x:f>MAX(0,MIN($G140,105)-MAX($F140,101)+1)*$D140/$E140</x:f>
        <x:v>0</x:v>
      </x:c>
      <x:c r="AC140" s="39" t="n">
        <x:f>MAX(0,MIN($G140,110)-MAX($F140,106)+1)*$D140/$E140</x:f>
        <x:v>0</x:v>
      </x:c>
      <x:c r="AD140" s="39" t="n">
        <x:f>MAX(0,MIN($G140,115)-MAX($F140,111)+1)*$D140/$E140</x:f>
        <x:v>0</x:v>
      </x:c>
      <x:c r="AE140" s="39" t="n">
        <x:f>MAX(0,MIN($G140,120)-MAX($F140,116)+1)*$D140/$E140</x:f>
        <x:v>0</x:v>
      </x:c>
      <x:c r="AF140" s="39" t="n">
        <x:f>MAX(0,MIN($G140,125)-MAX($F140,121)+1)*$D140/$E140</x:f>
        <x:v>0</x:v>
      </x:c>
      <x:c r="AG140" s="39" t="n">
        <x:f>MAX(0,MIN($G140,130)-MAX($F140,126)+1)*$D140/$E140</x:f>
        <x:v>0</x:v>
      </x:c>
      <x:c r="AH140" s="39" t="n">
        <x:f>MAX(0,MIN($G140,135)-MAX($F140,131)+1)*$D140/$E140</x:f>
        <x:v>0</x:v>
      </x:c>
      <x:c r="AI140" s="39" t="n">
        <x:f>MAX(0,MIN($G140,140)-MAX($F140,136)+1)*$D140/$E140</x:f>
        <x:v>20</x:v>
      </x:c>
      <x:c r="AJ140" s="39" t="n">
        <x:f>MAX(0,MIN($G140,145)-MAX($F140,141)+1)*$D140/$E140</x:f>
        <x:v>0</x:v>
      </x:c>
      <x:c r="AK140" s="39" t="n">
        <x:f>MAX(0,MIN($G140,150)-MAX($F140,146)+1)*$D140/$E140</x:f>
        <x:v>0</x:v>
      </x:c>
      <x:c r="AL140" s="39" t="n">
        <x:f>MAX(0,MIN($G140,155)-MAX($F140,151)+1)*$D140/$E140</x:f>
        <x:v>0</x:v>
      </x:c>
      <x:c r="AM140" s="39" t="n">
        <x:f>MAX(0,MIN($G140,160)-MAX($F140,156)+1)*$D140/$E140</x:f>
        <x:v>0</x:v>
      </x:c>
      <x:c r="AN140" s="39" t="n">
        <x:f>MAX(0,MIN($G140,165)-MAX($F140,161)+1)*$D140/$E140</x:f>
        <x:v>0</x:v>
      </x:c>
      <x:c r="AO140" s="39" t="n">
        <x:f>MAX(0,MIN($G140,170)-MAX($F140,166)+1)*$D140/$E140</x:f>
        <x:v>0</x:v>
      </x:c>
      <x:c r="AP140" s="39" t="n">
        <x:f>MAX(0,MIN($G140,175)-MAX($F140,171)+1)*$D140/$E140</x:f>
        <x:v>0</x:v>
      </x:c>
      <x:c r="AQ140" s="39" t="n">
        <x:f>MAX(0,MIN($G140,180)-MAX($F140,176)+1)*$D140/$E140</x:f>
        <x:v>0</x:v>
      </x:c>
    </x:row>
    <x:row r="141" ht="27" customHeight="1">
      <x:c r="A141" s="9" t="str">
        <x:v>J03</x:v>
      </x:c>
      <x:c r="B141" s="9" t="str">
        <x:f>'Tasks'!P73</x:f>
        <x:v>CD</x:v>
      </x:c>
      <x:c r="C141" s="9" t="str">
        <x:v>Review</x:v>
      </x:c>
      <x:c r="D141" s="40" t="n">
        <x:f>'Tasks'!Q73</x:f>
        <x:v>8</x:v>
      </x:c>
      <x:c r="E141" s="40" t="n">
        <x:f>'Tasks'!F73</x:f>
        <x:v>4</x:v>
      </x:c>
      <x:c r="F141" s="40" t="n">
        <x:f>'Tasks'!K73</x:f>
        <x:v>137</x:v>
      </x:c>
      <x:c r="G141" s="40" t="n">
        <x:f>'Tasks'!L73</x:f>
        <x:v>140</x:v>
      </x:c>
      <x:c r="H141" s="40" t="n">
        <x:f>MAX(0,MIN($G141,5)-MAX($F141,1)+1)*$D141/$E141</x:f>
        <x:v>0</x:v>
      </x:c>
      <x:c r="I141" s="40" t="n">
        <x:f>MAX(0,MIN($G141,10)-MAX($F141,6)+1)*$D141/$E141</x:f>
        <x:v>0</x:v>
      </x:c>
      <x:c r="J141" s="40" t="n">
        <x:f>MAX(0,MIN($G141,15)-MAX($F141,11)+1)*$D141/$E141</x:f>
        <x:v>0</x:v>
      </x:c>
      <x:c r="K141" s="40" t="n">
        <x:f>MAX(0,MIN($G141,20)-MAX($F141,16)+1)*$D141/$E141</x:f>
        <x:v>0</x:v>
      </x:c>
      <x:c r="L141" s="40" t="n">
        <x:f>MAX(0,MIN($G141,25)-MAX($F141,21)+1)*$D141/$E141</x:f>
        <x:v>0</x:v>
      </x:c>
      <x:c r="M141" s="40" t="n">
        <x:f>MAX(0,MIN($G141,30)-MAX($F141,26)+1)*$D141/$E141</x:f>
        <x:v>0</x:v>
      </x:c>
      <x:c r="N141" s="40" t="n">
        <x:f>MAX(0,MIN($G141,35)-MAX($F141,31)+1)*$D141/$E141</x:f>
        <x:v>0</x:v>
      </x:c>
      <x:c r="O141" s="40" t="n">
        <x:f>MAX(0,MIN($G141,40)-MAX($F141,36)+1)*$D141/$E141</x:f>
        <x:v>0</x:v>
      </x:c>
      <x:c r="P141" s="40" t="n">
        <x:f>MAX(0,MIN($G141,45)-MAX($F141,41)+1)*$D141/$E141</x:f>
        <x:v>0</x:v>
      </x:c>
      <x:c r="Q141" s="40" t="n">
        <x:f>MAX(0,MIN($G141,50)-MAX($F141,46)+1)*$D141/$E141</x:f>
        <x:v>0</x:v>
      </x:c>
      <x:c r="R141" s="40" t="n">
        <x:f>MAX(0,MIN($G141,55)-MAX($F141,51)+1)*$D141/$E141</x:f>
        <x:v>0</x:v>
      </x:c>
      <x:c r="S141" s="40" t="n">
        <x:f>MAX(0,MIN($G141,60)-MAX($F141,56)+1)*$D141/$E141</x:f>
        <x:v>0</x:v>
      </x:c>
      <x:c r="T141" s="40" t="n">
        <x:f>MAX(0,MIN($G141,65)-MAX($F141,61)+1)*$D141/$E141</x:f>
        <x:v>0</x:v>
      </x:c>
      <x:c r="U141" s="40" t="n">
        <x:f>MAX(0,MIN($G141,70)-MAX($F141,66)+1)*$D141/$E141</x:f>
        <x:v>0</x:v>
      </x:c>
      <x:c r="V141" s="40" t="n">
        <x:f>MAX(0,MIN($G141,75)-MAX($F141,71)+1)*$D141/$E141</x:f>
        <x:v>0</x:v>
      </x:c>
      <x:c r="W141" s="40" t="n">
        <x:f>MAX(0,MIN($G141,80)-MAX($F141,76)+1)*$D141/$E141</x:f>
        <x:v>0</x:v>
      </x:c>
      <x:c r="X141" s="40" t="n">
        <x:f>MAX(0,MIN($G141,85)-MAX($F141,81)+1)*$D141/$E141</x:f>
        <x:v>0</x:v>
      </x:c>
      <x:c r="Y141" s="40" t="n">
        <x:f>MAX(0,MIN($G141,90)-MAX($F141,86)+1)*$D141/$E141</x:f>
        <x:v>0</x:v>
      </x:c>
      <x:c r="Z141" s="40" t="n">
        <x:f>MAX(0,MIN($G141,95)-MAX($F141,91)+1)*$D141/$E141</x:f>
        <x:v>0</x:v>
      </x:c>
      <x:c r="AA141" s="40" t="n">
        <x:f>MAX(0,MIN($G141,100)-MAX($F141,96)+1)*$D141/$E141</x:f>
        <x:v>0</x:v>
      </x:c>
      <x:c r="AB141" s="40" t="n">
        <x:f>MAX(0,MIN($G141,105)-MAX($F141,101)+1)*$D141/$E141</x:f>
        <x:v>0</x:v>
      </x:c>
      <x:c r="AC141" s="40" t="n">
        <x:f>MAX(0,MIN($G141,110)-MAX($F141,106)+1)*$D141/$E141</x:f>
        <x:v>0</x:v>
      </x:c>
      <x:c r="AD141" s="40" t="n">
        <x:f>MAX(0,MIN($G141,115)-MAX($F141,111)+1)*$D141/$E141</x:f>
        <x:v>0</x:v>
      </x:c>
      <x:c r="AE141" s="40" t="n">
        <x:f>MAX(0,MIN($G141,120)-MAX($F141,116)+1)*$D141/$E141</x:f>
        <x:v>0</x:v>
      </x:c>
      <x:c r="AF141" s="40" t="n">
        <x:f>MAX(0,MIN($G141,125)-MAX($F141,121)+1)*$D141/$E141</x:f>
        <x:v>0</x:v>
      </x:c>
      <x:c r="AG141" s="40" t="n">
        <x:f>MAX(0,MIN($G141,130)-MAX($F141,126)+1)*$D141/$E141</x:f>
        <x:v>0</x:v>
      </x:c>
      <x:c r="AH141" s="40" t="n">
        <x:f>MAX(0,MIN($G141,135)-MAX($F141,131)+1)*$D141/$E141</x:f>
        <x:v>0</x:v>
      </x:c>
      <x:c r="AI141" s="40" t="n">
        <x:f>MAX(0,MIN($G141,140)-MAX($F141,136)+1)*$D141/$E141</x:f>
        <x:v>8</x:v>
      </x:c>
      <x:c r="AJ141" s="40" t="n">
        <x:f>MAX(0,MIN($G141,145)-MAX($F141,141)+1)*$D141/$E141</x:f>
        <x:v>0</x:v>
      </x:c>
      <x:c r="AK141" s="40" t="n">
        <x:f>MAX(0,MIN($G141,150)-MAX($F141,146)+1)*$D141/$E141</x:f>
        <x:v>0</x:v>
      </x:c>
      <x:c r="AL141" s="40" t="n">
        <x:f>MAX(0,MIN($G141,155)-MAX($F141,151)+1)*$D141/$E141</x:f>
        <x:v>0</x:v>
      </x:c>
      <x:c r="AM141" s="40" t="n">
        <x:f>MAX(0,MIN($G141,160)-MAX($F141,156)+1)*$D141/$E141</x:f>
        <x:v>0</x:v>
      </x:c>
      <x:c r="AN141" s="40" t="n">
        <x:f>MAX(0,MIN($G141,165)-MAX($F141,161)+1)*$D141/$E141</x:f>
        <x:v>0</x:v>
      </x:c>
      <x:c r="AO141" s="40" t="n">
        <x:f>MAX(0,MIN($G141,170)-MAX($F141,166)+1)*$D141/$E141</x:f>
        <x:v>0</x:v>
      </x:c>
      <x:c r="AP141" s="40" t="n">
        <x:f>MAX(0,MIN($G141,175)-MAX($F141,171)+1)*$D141/$E141</x:f>
        <x:v>0</x:v>
      </x:c>
      <x:c r="AQ141" s="40" t="n">
        <x:f>MAX(0,MIN($G141,180)-MAX($F141,176)+1)*$D141/$E141</x:f>
        <x:v>0</x:v>
      </x:c>
    </x:row>
    <x:row r="142" ht="27" customHeight="1">
      <x:c r="A142" s="10" t="str">
        <x:v>J04</x:v>
      </x:c>
      <x:c r="B142" s="10" t="str">
        <x:f>'Tasks'!D74</x:f>
        <x:v>MD</x:v>
      </x:c>
      <x:c r="C142" s="10" t="str">
        <x:v>Owner</x:v>
      </x:c>
      <x:c r="D142" s="39" t="n">
        <x:f>'Tasks'!O74</x:f>
        <x:v>6</x:v>
      </x:c>
      <x:c r="E142" s="39" t="n">
        <x:f>'Tasks'!F74</x:f>
        <x:v>1</x:v>
      </x:c>
      <x:c r="F142" s="39" t="n">
        <x:f>'Tasks'!K74</x:f>
        <x:v>151</x:v>
      </x:c>
      <x:c r="G142" s="39" t="n">
        <x:f>'Tasks'!L74</x:f>
        <x:v>151</x:v>
      </x:c>
      <x:c r="H142" s="39" t="n">
        <x:f>MAX(0,MIN($G142,5)-MAX($F142,1)+1)*$D142/$E142</x:f>
        <x:v>0</x:v>
      </x:c>
      <x:c r="I142" s="39" t="n">
        <x:f>MAX(0,MIN($G142,10)-MAX($F142,6)+1)*$D142/$E142</x:f>
        <x:v>0</x:v>
      </x:c>
      <x:c r="J142" s="39" t="n">
        <x:f>MAX(0,MIN($G142,15)-MAX($F142,11)+1)*$D142/$E142</x:f>
        <x:v>0</x:v>
      </x:c>
      <x:c r="K142" s="39" t="n">
        <x:f>MAX(0,MIN($G142,20)-MAX($F142,16)+1)*$D142/$E142</x:f>
        <x:v>0</x:v>
      </x:c>
      <x:c r="L142" s="39" t="n">
        <x:f>MAX(0,MIN($G142,25)-MAX($F142,21)+1)*$D142/$E142</x:f>
        <x:v>0</x:v>
      </x:c>
      <x:c r="M142" s="39" t="n">
        <x:f>MAX(0,MIN($G142,30)-MAX($F142,26)+1)*$D142/$E142</x:f>
        <x:v>0</x:v>
      </x:c>
      <x:c r="N142" s="39" t="n">
        <x:f>MAX(0,MIN($G142,35)-MAX($F142,31)+1)*$D142/$E142</x:f>
        <x:v>0</x:v>
      </x:c>
      <x:c r="O142" s="39" t="n">
        <x:f>MAX(0,MIN($G142,40)-MAX($F142,36)+1)*$D142/$E142</x:f>
        <x:v>0</x:v>
      </x:c>
      <x:c r="P142" s="39" t="n">
        <x:f>MAX(0,MIN($G142,45)-MAX($F142,41)+1)*$D142/$E142</x:f>
        <x:v>0</x:v>
      </x:c>
      <x:c r="Q142" s="39" t="n">
        <x:f>MAX(0,MIN($G142,50)-MAX($F142,46)+1)*$D142/$E142</x:f>
        <x:v>0</x:v>
      </x:c>
      <x:c r="R142" s="39" t="n">
        <x:f>MAX(0,MIN($G142,55)-MAX($F142,51)+1)*$D142/$E142</x:f>
        <x:v>0</x:v>
      </x:c>
      <x:c r="S142" s="39" t="n">
        <x:f>MAX(0,MIN($G142,60)-MAX($F142,56)+1)*$D142/$E142</x:f>
        <x:v>0</x:v>
      </x:c>
      <x:c r="T142" s="39" t="n">
        <x:f>MAX(0,MIN($G142,65)-MAX($F142,61)+1)*$D142/$E142</x:f>
        <x:v>0</x:v>
      </x:c>
      <x:c r="U142" s="39" t="n">
        <x:f>MAX(0,MIN($G142,70)-MAX($F142,66)+1)*$D142/$E142</x:f>
        <x:v>0</x:v>
      </x:c>
      <x:c r="V142" s="39" t="n">
        <x:f>MAX(0,MIN($G142,75)-MAX($F142,71)+1)*$D142/$E142</x:f>
        <x:v>0</x:v>
      </x:c>
      <x:c r="W142" s="39" t="n">
        <x:f>MAX(0,MIN($G142,80)-MAX($F142,76)+1)*$D142/$E142</x:f>
        <x:v>0</x:v>
      </x:c>
      <x:c r="X142" s="39" t="n">
        <x:f>MAX(0,MIN($G142,85)-MAX($F142,81)+1)*$D142/$E142</x:f>
        <x:v>0</x:v>
      </x:c>
      <x:c r="Y142" s="39" t="n">
        <x:f>MAX(0,MIN($G142,90)-MAX($F142,86)+1)*$D142/$E142</x:f>
        <x:v>0</x:v>
      </x:c>
      <x:c r="Z142" s="39" t="n">
        <x:f>MAX(0,MIN($G142,95)-MAX($F142,91)+1)*$D142/$E142</x:f>
        <x:v>0</x:v>
      </x:c>
      <x:c r="AA142" s="39" t="n">
        <x:f>MAX(0,MIN($G142,100)-MAX($F142,96)+1)*$D142/$E142</x:f>
        <x:v>0</x:v>
      </x:c>
      <x:c r="AB142" s="39" t="n">
        <x:f>MAX(0,MIN($G142,105)-MAX($F142,101)+1)*$D142/$E142</x:f>
        <x:v>0</x:v>
      </x:c>
      <x:c r="AC142" s="39" t="n">
        <x:f>MAX(0,MIN($G142,110)-MAX($F142,106)+1)*$D142/$E142</x:f>
        <x:v>0</x:v>
      </x:c>
      <x:c r="AD142" s="39" t="n">
        <x:f>MAX(0,MIN($G142,115)-MAX($F142,111)+1)*$D142/$E142</x:f>
        <x:v>0</x:v>
      </x:c>
      <x:c r="AE142" s="39" t="n">
        <x:f>MAX(0,MIN($G142,120)-MAX($F142,116)+1)*$D142/$E142</x:f>
        <x:v>0</x:v>
      </x:c>
      <x:c r="AF142" s="39" t="n">
        <x:f>MAX(0,MIN($G142,125)-MAX($F142,121)+1)*$D142/$E142</x:f>
        <x:v>0</x:v>
      </x:c>
      <x:c r="AG142" s="39" t="n">
        <x:f>MAX(0,MIN($G142,130)-MAX($F142,126)+1)*$D142/$E142</x:f>
        <x:v>0</x:v>
      </x:c>
      <x:c r="AH142" s="39" t="n">
        <x:f>MAX(0,MIN($G142,135)-MAX($F142,131)+1)*$D142/$E142</x:f>
        <x:v>0</x:v>
      </x:c>
      <x:c r="AI142" s="39" t="n">
        <x:f>MAX(0,MIN($G142,140)-MAX($F142,136)+1)*$D142/$E142</x:f>
        <x:v>0</x:v>
      </x:c>
      <x:c r="AJ142" s="39" t="n">
        <x:f>MAX(0,MIN($G142,145)-MAX($F142,141)+1)*$D142/$E142</x:f>
        <x:v>0</x:v>
      </x:c>
      <x:c r="AK142" s="39" t="n">
        <x:f>MAX(0,MIN($G142,150)-MAX($F142,146)+1)*$D142/$E142</x:f>
        <x:v>0</x:v>
      </x:c>
      <x:c r="AL142" s="39" t="n">
        <x:f>MAX(0,MIN($G142,155)-MAX($F142,151)+1)*$D142/$E142</x:f>
        <x:v>6</x:v>
      </x:c>
      <x:c r="AM142" s="39" t="n">
        <x:f>MAX(0,MIN($G142,160)-MAX($F142,156)+1)*$D142/$E142</x:f>
        <x:v>0</x:v>
      </x:c>
      <x:c r="AN142" s="39" t="n">
        <x:f>MAX(0,MIN($G142,165)-MAX($F142,161)+1)*$D142/$E142</x:f>
        <x:v>0</x:v>
      </x:c>
      <x:c r="AO142" s="39" t="n">
        <x:f>MAX(0,MIN($G142,170)-MAX($F142,166)+1)*$D142/$E142</x:f>
        <x:v>0</x:v>
      </x:c>
      <x:c r="AP142" s="39" t="n">
        <x:f>MAX(0,MIN($G142,175)-MAX($F142,171)+1)*$D142/$E142</x:f>
        <x:v>0</x:v>
      </x:c>
      <x:c r="AQ142" s="39" t="n">
        <x:f>MAX(0,MIN($G142,180)-MAX($F142,176)+1)*$D142/$E142</x:f>
        <x:v>0</x:v>
      </x:c>
    </x:row>
    <x:row r="143" ht="27" customHeight="1">
      <x:c r="A143" s="9" t="str">
        <x:v>J04</x:v>
      </x:c>
      <x:c r="B143" s="9" t="str">
        <x:f>'Tasks'!P74</x:f>
        <x:v>TD</x:v>
      </x:c>
      <x:c r="C143" s="9" t="str">
        <x:v>Review</x:v>
      </x:c>
      <x:c r="D143" s="40" t="n">
        <x:f>'Tasks'!Q74</x:f>
        <x:v>3</x:v>
      </x:c>
      <x:c r="E143" s="40" t="n">
        <x:f>'Tasks'!F74</x:f>
        <x:v>1</x:v>
      </x:c>
      <x:c r="F143" s="40" t="n">
        <x:f>'Tasks'!K74</x:f>
        <x:v>151</x:v>
      </x:c>
      <x:c r="G143" s="40" t="n">
        <x:f>'Tasks'!L74</x:f>
        <x:v>151</x:v>
      </x:c>
      <x:c r="H143" s="40" t="n">
        <x:f>MAX(0,MIN($G143,5)-MAX($F143,1)+1)*$D143/$E143</x:f>
        <x:v>0</x:v>
      </x:c>
      <x:c r="I143" s="40" t="n">
        <x:f>MAX(0,MIN($G143,10)-MAX($F143,6)+1)*$D143/$E143</x:f>
        <x:v>0</x:v>
      </x:c>
      <x:c r="J143" s="40" t="n">
        <x:f>MAX(0,MIN($G143,15)-MAX($F143,11)+1)*$D143/$E143</x:f>
        <x:v>0</x:v>
      </x:c>
      <x:c r="K143" s="40" t="n">
        <x:f>MAX(0,MIN($G143,20)-MAX($F143,16)+1)*$D143/$E143</x:f>
        <x:v>0</x:v>
      </x:c>
      <x:c r="L143" s="40" t="n">
        <x:f>MAX(0,MIN($G143,25)-MAX($F143,21)+1)*$D143/$E143</x:f>
        <x:v>0</x:v>
      </x:c>
      <x:c r="M143" s="40" t="n">
        <x:f>MAX(0,MIN($G143,30)-MAX($F143,26)+1)*$D143/$E143</x:f>
        <x:v>0</x:v>
      </x:c>
      <x:c r="N143" s="40" t="n">
        <x:f>MAX(0,MIN($G143,35)-MAX($F143,31)+1)*$D143/$E143</x:f>
        <x:v>0</x:v>
      </x:c>
      <x:c r="O143" s="40" t="n">
        <x:f>MAX(0,MIN($G143,40)-MAX($F143,36)+1)*$D143/$E143</x:f>
        <x:v>0</x:v>
      </x:c>
      <x:c r="P143" s="40" t="n">
        <x:f>MAX(0,MIN($G143,45)-MAX($F143,41)+1)*$D143/$E143</x:f>
        <x:v>0</x:v>
      </x:c>
      <x:c r="Q143" s="40" t="n">
        <x:f>MAX(0,MIN($G143,50)-MAX($F143,46)+1)*$D143/$E143</x:f>
        <x:v>0</x:v>
      </x:c>
      <x:c r="R143" s="40" t="n">
        <x:f>MAX(0,MIN($G143,55)-MAX($F143,51)+1)*$D143/$E143</x:f>
        <x:v>0</x:v>
      </x:c>
      <x:c r="S143" s="40" t="n">
        <x:f>MAX(0,MIN($G143,60)-MAX($F143,56)+1)*$D143/$E143</x:f>
        <x:v>0</x:v>
      </x:c>
      <x:c r="T143" s="40" t="n">
        <x:f>MAX(0,MIN($G143,65)-MAX($F143,61)+1)*$D143/$E143</x:f>
        <x:v>0</x:v>
      </x:c>
      <x:c r="U143" s="40" t="n">
        <x:f>MAX(0,MIN($G143,70)-MAX($F143,66)+1)*$D143/$E143</x:f>
        <x:v>0</x:v>
      </x:c>
      <x:c r="V143" s="40" t="n">
        <x:f>MAX(0,MIN($G143,75)-MAX($F143,71)+1)*$D143/$E143</x:f>
        <x:v>0</x:v>
      </x:c>
      <x:c r="W143" s="40" t="n">
        <x:f>MAX(0,MIN($G143,80)-MAX($F143,76)+1)*$D143/$E143</x:f>
        <x:v>0</x:v>
      </x:c>
      <x:c r="X143" s="40" t="n">
        <x:f>MAX(0,MIN($G143,85)-MAX($F143,81)+1)*$D143/$E143</x:f>
        <x:v>0</x:v>
      </x:c>
      <x:c r="Y143" s="40" t="n">
        <x:f>MAX(0,MIN($G143,90)-MAX($F143,86)+1)*$D143/$E143</x:f>
        <x:v>0</x:v>
      </x:c>
      <x:c r="Z143" s="40" t="n">
        <x:f>MAX(0,MIN($G143,95)-MAX($F143,91)+1)*$D143/$E143</x:f>
        <x:v>0</x:v>
      </x:c>
      <x:c r="AA143" s="40" t="n">
        <x:f>MAX(0,MIN($G143,100)-MAX($F143,96)+1)*$D143/$E143</x:f>
        <x:v>0</x:v>
      </x:c>
      <x:c r="AB143" s="40" t="n">
        <x:f>MAX(0,MIN($G143,105)-MAX($F143,101)+1)*$D143/$E143</x:f>
        <x:v>0</x:v>
      </x:c>
      <x:c r="AC143" s="40" t="n">
        <x:f>MAX(0,MIN($G143,110)-MAX($F143,106)+1)*$D143/$E143</x:f>
        <x:v>0</x:v>
      </x:c>
      <x:c r="AD143" s="40" t="n">
        <x:f>MAX(0,MIN($G143,115)-MAX($F143,111)+1)*$D143/$E143</x:f>
        <x:v>0</x:v>
      </x:c>
      <x:c r="AE143" s="40" t="n">
        <x:f>MAX(0,MIN($G143,120)-MAX($F143,116)+1)*$D143/$E143</x:f>
        <x:v>0</x:v>
      </x:c>
      <x:c r="AF143" s="40" t="n">
        <x:f>MAX(0,MIN($G143,125)-MAX($F143,121)+1)*$D143/$E143</x:f>
        <x:v>0</x:v>
      </x:c>
      <x:c r="AG143" s="40" t="n">
        <x:f>MAX(0,MIN($G143,130)-MAX($F143,126)+1)*$D143/$E143</x:f>
        <x:v>0</x:v>
      </x:c>
      <x:c r="AH143" s="40" t="n">
        <x:f>MAX(0,MIN($G143,135)-MAX($F143,131)+1)*$D143/$E143</x:f>
        <x:v>0</x:v>
      </x:c>
      <x:c r="AI143" s="40" t="n">
        <x:f>MAX(0,MIN($G143,140)-MAX($F143,136)+1)*$D143/$E143</x:f>
        <x:v>0</x:v>
      </x:c>
      <x:c r="AJ143" s="40" t="n">
        <x:f>MAX(0,MIN($G143,145)-MAX($F143,141)+1)*$D143/$E143</x:f>
        <x:v>0</x:v>
      </x:c>
      <x:c r="AK143" s="40" t="n">
        <x:f>MAX(0,MIN($G143,150)-MAX($F143,146)+1)*$D143/$E143</x:f>
        <x:v>0</x:v>
      </x:c>
      <x:c r="AL143" s="40" t="n">
        <x:f>MAX(0,MIN($G143,155)-MAX($F143,151)+1)*$D143/$E143</x:f>
        <x:v>3</x:v>
      </x:c>
      <x:c r="AM143" s="40" t="n">
        <x:f>MAX(0,MIN($G143,160)-MAX($F143,156)+1)*$D143/$E143</x:f>
        <x:v>0</x:v>
      </x:c>
      <x:c r="AN143" s="40" t="n">
        <x:f>MAX(0,MIN($G143,165)-MAX($F143,161)+1)*$D143/$E143</x:f>
        <x:v>0</x:v>
      </x:c>
      <x:c r="AO143" s="40" t="n">
        <x:f>MAX(0,MIN($G143,170)-MAX($F143,166)+1)*$D143/$E143</x:f>
        <x:v>0</x:v>
      </x:c>
      <x:c r="AP143" s="40" t="n">
        <x:f>MAX(0,MIN($G143,175)-MAX($F143,171)+1)*$D143/$E143</x:f>
        <x:v>0</x:v>
      </x:c>
      <x:c r="AQ143" s="40" t="n">
        <x:f>MAX(0,MIN($G143,180)-MAX($F143,176)+1)*$D143/$E143</x:f>
        <x:v>0</x:v>
      </x:c>
    </x:row>
    <x:row r="144" ht="27" customHeight="1">
      <x:c r="A144" s="10" t="str">
        <x:v>G5</x:v>
      </x:c>
      <x:c r="B144" s="10" t="str">
        <x:f>'Tasks'!D75</x:f>
        <x:v>MD</x:v>
      </x:c>
      <x:c r="C144" s="10" t="str">
        <x:v>Owner</x:v>
      </x:c>
      <x:c r="D144" s="39" t="n">
        <x:f>'Tasks'!O75</x:f>
        <x:v>4</x:v>
      </x:c>
      <x:c r="E144" s="39" t="n">
        <x:f>'Tasks'!F75</x:f>
        <x:v>1</x:v>
      </x:c>
      <x:c r="F144" s="39" t="n">
        <x:f>'Tasks'!K75</x:f>
        <x:v>152</x:v>
      </x:c>
      <x:c r="G144" s="39" t="n">
        <x:f>'Tasks'!L75</x:f>
        <x:v>152</x:v>
      </x:c>
      <x:c r="H144" s="39" t="n">
        <x:f>MAX(0,MIN($G144,5)-MAX($F144,1)+1)*$D144/$E144</x:f>
        <x:v>0</x:v>
      </x:c>
      <x:c r="I144" s="39" t="n">
        <x:f>MAX(0,MIN($G144,10)-MAX($F144,6)+1)*$D144/$E144</x:f>
        <x:v>0</x:v>
      </x:c>
      <x:c r="J144" s="39" t="n">
        <x:f>MAX(0,MIN($G144,15)-MAX($F144,11)+1)*$D144/$E144</x:f>
        <x:v>0</x:v>
      </x:c>
      <x:c r="K144" s="39" t="n">
        <x:f>MAX(0,MIN($G144,20)-MAX($F144,16)+1)*$D144/$E144</x:f>
        <x:v>0</x:v>
      </x:c>
      <x:c r="L144" s="39" t="n">
        <x:f>MAX(0,MIN($G144,25)-MAX($F144,21)+1)*$D144/$E144</x:f>
        <x:v>0</x:v>
      </x:c>
      <x:c r="M144" s="39" t="n">
        <x:f>MAX(0,MIN($G144,30)-MAX($F144,26)+1)*$D144/$E144</x:f>
        <x:v>0</x:v>
      </x:c>
      <x:c r="N144" s="39" t="n">
        <x:f>MAX(0,MIN($G144,35)-MAX($F144,31)+1)*$D144/$E144</x:f>
        <x:v>0</x:v>
      </x:c>
      <x:c r="O144" s="39" t="n">
        <x:f>MAX(0,MIN($G144,40)-MAX($F144,36)+1)*$D144/$E144</x:f>
        <x:v>0</x:v>
      </x:c>
      <x:c r="P144" s="39" t="n">
        <x:f>MAX(0,MIN($G144,45)-MAX($F144,41)+1)*$D144/$E144</x:f>
        <x:v>0</x:v>
      </x:c>
      <x:c r="Q144" s="39" t="n">
        <x:f>MAX(0,MIN($G144,50)-MAX($F144,46)+1)*$D144/$E144</x:f>
        <x:v>0</x:v>
      </x:c>
      <x:c r="R144" s="39" t="n">
        <x:f>MAX(0,MIN($G144,55)-MAX($F144,51)+1)*$D144/$E144</x:f>
        <x:v>0</x:v>
      </x:c>
      <x:c r="S144" s="39" t="n">
        <x:f>MAX(0,MIN($G144,60)-MAX($F144,56)+1)*$D144/$E144</x:f>
        <x:v>0</x:v>
      </x:c>
      <x:c r="T144" s="39" t="n">
        <x:f>MAX(0,MIN($G144,65)-MAX($F144,61)+1)*$D144/$E144</x:f>
        <x:v>0</x:v>
      </x:c>
      <x:c r="U144" s="39" t="n">
        <x:f>MAX(0,MIN($G144,70)-MAX($F144,66)+1)*$D144/$E144</x:f>
        <x:v>0</x:v>
      </x:c>
      <x:c r="V144" s="39" t="n">
        <x:f>MAX(0,MIN($G144,75)-MAX($F144,71)+1)*$D144/$E144</x:f>
        <x:v>0</x:v>
      </x:c>
      <x:c r="W144" s="39" t="n">
        <x:f>MAX(0,MIN($G144,80)-MAX($F144,76)+1)*$D144/$E144</x:f>
        <x:v>0</x:v>
      </x:c>
      <x:c r="X144" s="39" t="n">
        <x:f>MAX(0,MIN($G144,85)-MAX($F144,81)+1)*$D144/$E144</x:f>
        <x:v>0</x:v>
      </x:c>
      <x:c r="Y144" s="39" t="n">
        <x:f>MAX(0,MIN($G144,90)-MAX($F144,86)+1)*$D144/$E144</x:f>
        <x:v>0</x:v>
      </x:c>
      <x:c r="Z144" s="39" t="n">
        <x:f>MAX(0,MIN($G144,95)-MAX($F144,91)+1)*$D144/$E144</x:f>
        <x:v>0</x:v>
      </x:c>
      <x:c r="AA144" s="39" t="n">
        <x:f>MAX(0,MIN($G144,100)-MAX($F144,96)+1)*$D144/$E144</x:f>
        <x:v>0</x:v>
      </x:c>
      <x:c r="AB144" s="39" t="n">
        <x:f>MAX(0,MIN($G144,105)-MAX($F144,101)+1)*$D144/$E144</x:f>
        <x:v>0</x:v>
      </x:c>
      <x:c r="AC144" s="39" t="n">
        <x:f>MAX(0,MIN($G144,110)-MAX($F144,106)+1)*$D144/$E144</x:f>
        <x:v>0</x:v>
      </x:c>
      <x:c r="AD144" s="39" t="n">
        <x:f>MAX(0,MIN($G144,115)-MAX($F144,111)+1)*$D144/$E144</x:f>
        <x:v>0</x:v>
      </x:c>
      <x:c r="AE144" s="39" t="n">
        <x:f>MAX(0,MIN($G144,120)-MAX($F144,116)+1)*$D144/$E144</x:f>
        <x:v>0</x:v>
      </x:c>
      <x:c r="AF144" s="39" t="n">
        <x:f>MAX(0,MIN($G144,125)-MAX($F144,121)+1)*$D144/$E144</x:f>
        <x:v>0</x:v>
      </x:c>
      <x:c r="AG144" s="39" t="n">
        <x:f>MAX(0,MIN($G144,130)-MAX($F144,126)+1)*$D144/$E144</x:f>
        <x:v>0</x:v>
      </x:c>
      <x:c r="AH144" s="39" t="n">
        <x:f>MAX(0,MIN($G144,135)-MAX($F144,131)+1)*$D144/$E144</x:f>
        <x:v>0</x:v>
      </x:c>
      <x:c r="AI144" s="39" t="n">
        <x:f>MAX(0,MIN($G144,140)-MAX($F144,136)+1)*$D144/$E144</x:f>
        <x:v>0</x:v>
      </x:c>
      <x:c r="AJ144" s="39" t="n">
        <x:f>MAX(0,MIN($G144,145)-MAX($F144,141)+1)*$D144/$E144</x:f>
        <x:v>0</x:v>
      </x:c>
      <x:c r="AK144" s="39" t="n">
        <x:f>MAX(0,MIN($G144,150)-MAX($F144,146)+1)*$D144/$E144</x:f>
        <x:v>0</x:v>
      </x:c>
      <x:c r="AL144" s="39" t="n">
        <x:f>MAX(0,MIN($G144,155)-MAX($F144,151)+1)*$D144/$E144</x:f>
        <x:v>4</x:v>
      </x:c>
      <x:c r="AM144" s="39" t="n">
        <x:f>MAX(0,MIN($G144,160)-MAX($F144,156)+1)*$D144/$E144</x:f>
        <x:v>0</x:v>
      </x:c>
      <x:c r="AN144" s="39" t="n">
        <x:f>MAX(0,MIN($G144,165)-MAX($F144,161)+1)*$D144/$E144</x:f>
        <x:v>0</x:v>
      </x:c>
      <x:c r="AO144" s="39" t="n">
        <x:f>MAX(0,MIN($G144,170)-MAX($F144,166)+1)*$D144/$E144</x:f>
        <x:v>0</x:v>
      </x:c>
      <x:c r="AP144" s="39" t="n">
        <x:f>MAX(0,MIN($G144,175)-MAX($F144,171)+1)*$D144/$E144</x:f>
        <x:v>0</x:v>
      </x:c>
      <x:c r="AQ144" s="39" t="n">
        <x:f>MAX(0,MIN($G144,180)-MAX($F144,176)+1)*$D144/$E144</x:f>
        <x:v>0</x:v>
      </x:c>
    </x:row>
    <x:row r="145" ht="27" customHeight="1">
      <x:c r="A145" s="9" t="str">
        <x:v>G5</x:v>
      </x:c>
      <x:c r="B145" s="9" t="str">
        <x:f>'Tasks'!P75</x:f>
        <x:v>HP</x:v>
      </x:c>
      <x:c r="C145" s="9" t="str">
        <x:v>Review</x:v>
      </x:c>
      <x:c r="D145" s="40" t="n">
        <x:f>'Tasks'!Q75</x:f>
        <x:v>2</x:v>
      </x:c>
      <x:c r="E145" s="40" t="n">
        <x:f>'Tasks'!F75</x:f>
        <x:v>1</x:v>
      </x:c>
      <x:c r="F145" s="40" t="n">
        <x:f>'Tasks'!K75</x:f>
        <x:v>152</x:v>
      </x:c>
      <x:c r="G145" s="40" t="n">
        <x:f>'Tasks'!L75</x:f>
        <x:v>152</x:v>
      </x:c>
      <x:c r="H145" s="40" t="n">
        <x:f>MAX(0,MIN($G145,5)-MAX($F145,1)+1)*$D145/$E145</x:f>
        <x:v>0</x:v>
      </x:c>
      <x:c r="I145" s="40" t="n">
        <x:f>MAX(0,MIN($G145,10)-MAX($F145,6)+1)*$D145/$E145</x:f>
        <x:v>0</x:v>
      </x:c>
      <x:c r="J145" s="40" t="n">
        <x:f>MAX(0,MIN($G145,15)-MAX($F145,11)+1)*$D145/$E145</x:f>
        <x:v>0</x:v>
      </x:c>
      <x:c r="K145" s="40" t="n">
        <x:f>MAX(0,MIN($G145,20)-MAX($F145,16)+1)*$D145/$E145</x:f>
        <x:v>0</x:v>
      </x:c>
      <x:c r="L145" s="40" t="n">
        <x:f>MAX(0,MIN($G145,25)-MAX($F145,21)+1)*$D145/$E145</x:f>
        <x:v>0</x:v>
      </x:c>
      <x:c r="M145" s="40" t="n">
        <x:f>MAX(0,MIN($G145,30)-MAX($F145,26)+1)*$D145/$E145</x:f>
        <x:v>0</x:v>
      </x:c>
      <x:c r="N145" s="40" t="n">
        <x:f>MAX(0,MIN($G145,35)-MAX($F145,31)+1)*$D145/$E145</x:f>
        <x:v>0</x:v>
      </x:c>
      <x:c r="O145" s="40" t="n">
        <x:f>MAX(0,MIN($G145,40)-MAX($F145,36)+1)*$D145/$E145</x:f>
        <x:v>0</x:v>
      </x:c>
      <x:c r="P145" s="40" t="n">
        <x:f>MAX(0,MIN($G145,45)-MAX($F145,41)+1)*$D145/$E145</x:f>
        <x:v>0</x:v>
      </x:c>
      <x:c r="Q145" s="40" t="n">
        <x:f>MAX(0,MIN($G145,50)-MAX($F145,46)+1)*$D145/$E145</x:f>
        <x:v>0</x:v>
      </x:c>
      <x:c r="R145" s="40" t="n">
        <x:f>MAX(0,MIN($G145,55)-MAX($F145,51)+1)*$D145/$E145</x:f>
        <x:v>0</x:v>
      </x:c>
      <x:c r="S145" s="40" t="n">
        <x:f>MAX(0,MIN($G145,60)-MAX($F145,56)+1)*$D145/$E145</x:f>
        <x:v>0</x:v>
      </x:c>
      <x:c r="T145" s="40" t="n">
        <x:f>MAX(0,MIN($G145,65)-MAX($F145,61)+1)*$D145/$E145</x:f>
        <x:v>0</x:v>
      </x:c>
      <x:c r="U145" s="40" t="n">
        <x:f>MAX(0,MIN($G145,70)-MAX($F145,66)+1)*$D145/$E145</x:f>
        <x:v>0</x:v>
      </x:c>
      <x:c r="V145" s="40" t="n">
        <x:f>MAX(0,MIN($G145,75)-MAX($F145,71)+1)*$D145/$E145</x:f>
        <x:v>0</x:v>
      </x:c>
      <x:c r="W145" s="40" t="n">
        <x:f>MAX(0,MIN($G145,80)-MAX($F145,76)+1)*$D145/$E145</x:f>
        <x:v>0</x:v>
      </x:c>
      <x:c r="X145" s="40" t="n">
        <x:f>MAX(0,MIN($G145,85)-MAX($F145,81)+1)*$D145/$E145</x:f>
        <x:v>0</x:v>
      </x:c>
      <x:c r="Y145" s="40" t="n">
        <x:f>MAX(0,MIN($G145,90)-MAX($F145,86)+1)*$D145/$E145</x:f>
        <x:v>0</x:v>
      </x:c>
      <x:c r="Z145" s="40" t="n">
        <x:f>MAX(0,MIN($G145,95)-MAX($F145,91)+1)*$D145/$E145</x:f>
        <x:v>0</x:v>
      </x:c>
      <x:c r="AA145" s="40" t="n">
        <x:f>MAX(0,MIN($G145,100)-MAX($F145,96)+1)*$D145/$E145</x:f>
        <x:v>0</x:v>
      </x:c>
      <x:c r="AB145" s="40" t="n">
        <x:f>MAX(0,MIN($G145,105)-MAX($F145,101)+1)*$D145/$E145</x:f>
        <x:v>0</x:v>
      </x:c>
      <x:c r="AC145" s="40" t="n">
        <x:f>MAX(0,MIN($G145,110)-MAX($F145,106)+1)*$D145/$E145</x:f>
        <x:v>0</x:v>
      </x:c>
      <x:c r="AD145" s="40" t="n">
        <x:f>MAX(0,MIN($G145,115)-MAX($F145,111)+1)*$D145/$E145</x:f>
        <x:v>0</x:v>
      </x:c>
      <x:c r="AE145" s="40" t="n">
        <x:f>MAX(0,MIN($G145,120)-MAX($F145,116)+1)*$D145/$E145</x:f>
        <x:v>0</x:v>
      </x:c>
      <x:c r="AF145" s="40" t="n">
        <x:f>MAX(0,MIN($G145,125)-MAX($F145,121)+1)*$D145/$E145</x:f>
        <x:v>0</x:v>
      </x:c>
      <x:c r="AG145" s="40" t="n">
        <x:f>MAX(0,MIN($G145,130)-MAX($F145,126)+1)*$D145/$E145</x:f>
        <x:v>0</x:v>
      </x:c>
      <x:c r="AH145" s="40" t="n">
        <x:f>MAX(0,MIN($G145,135)-MAX($F145,131)+1)*$D145/$E145</x:f>
        <x:v>0</x:v>
      </x:c>
      <x:c r="AI145" s="40" t="n">
        <x:f>MAX(0,MIN($G145,140)-MAX($F145,136)+1)*$D145/$E145</x:f>
        <x:v>0</x:v>
      </x:c>
      <x:c r="AJ145" s="40" t="n">
        <x:f>MAX(0,MIN($G145,145)-MAX($F145,141)+1)*$D145/$E145</x:f>
        <x:v>0</x:v>
      </x:c>
      <x:c r="AK145" s="40" t="n">
        <x:f>MAX(0,MIN($G145,150)-MAX($F145,146)+1)*$D145/$E145</x:f>
        <x:v>0</x:v>
      </x:c>
      <x:c r="AL145" s="40" t="n">
        <x:f>MAX(0,MIN($G145,155)-MAX($F145,151)+1)*$D145/$E145</x:f>
        <x:v>2</x:v>
      </x:c>
      <x:c r="AM145" s="40" t="n">
        <x:f>MAX(0,MIN($G145,160)-MAX($F145,156)+1)*$D145/$E145</x:f>
        <x:v>0</x:v>
      </x:c>
      <x:c r="AN145" s="40" t="n">
        <x:f>MAX(0,MIN($G145,165)-MAX($F145,161)+1)*$D145/$E145</x:f>
        <x:v>0</x:v>
      </x:c>
      <x:c r="AO145" s="40" t="n">
        <x:f>MAX(0,MIN($G145,170)-MAX($F145,166)+1)*$D145/$E145</x:f>
        <x:v>0</x:v>
      </x:c>
      <x:c r="AP145" s="40" t="n">
        <x:f>MAX(0,MIN($G145,175)-MAX($F145,171)+1)*$D145/$E145</x:f>
        <x:v>0</x:v>
      </x:c>
      <x:c r="AQ145" s="40" t="n">
        <x:f>MAX(0,MIN($G145,180)-MAX($F145,176)+1)*$D145/$E145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99" hidden="0" customWidth="1"/>
    <x:col min="4" max="4" width="74" hidden="0" customWidth="1"/>
  </x:cols>
  <x:sheetData>
    <x:row r="1" ht="27" customHeight="1">
      <x:c r="A1" s="2" t="str">
        <x:v>Technical references</x:v>
      </x:c>
      <x:c r="B1" s="1"/>
      <x:c r="C1" s="1"/>
      <x:c r="D1" s="1"/>
    </x:row>
    <x:row r="2" ht="28" customHeight="1">
      <x:c r="A2" s="3" t="str">
        <x:v>AWS and foundation references checked 24 September 2026. Exact versions are pinned and proven during implementation.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8" customHeight="1">
      <x:c r="A5" s="7" t="str">
        <x:v>ID</x:v>
      </x:c>
      <x:c r="B5" s="7" t="str">
        <x:v>Reference</x:v>
      </x:c>
      <x:c r="C5" s="7" t="str">
        <x:v>URL or record</x:v>
      </x:c>
      <x:c r="D5" s="7" t="str">
        <x:v>Use</x:v>
      </x:c>
    </x:row>
    <x:row r="6" ht="56" customHeight="1">
      <x:c r="A6" s="10" t="str">
        <x:v>HF01</x:v>
      </x:c>
      <x:c r="B6" s="10" t="str">
        <x:v>Qwen3.5 candidate model</x:v>
      </x:c>
      <x:c r="C6" s="10" t="str">
        <x:v>https://huggingface.co/Qwen/Qwen3.5-4B</x:v>
      </x:c>
      <x:c r="D6" s="10" t="str">
        <x:v>Model artifacts and publisher runtime guidance</x:v>
      </x:c>
    </x:row>
    <x:row r="7" ht="56" customHeight="1">
      <x:c r="A7" s="9" t="str">
        <x:v>HF02</x:v>
      </x:c>
      <x:c r="B7" s="9" t="str">
        <x:v>Qwen3.5 Transformers implementation</x:v>
      </x:c>
      <x:c r="C7" s="9" t="str">
        <x:v>https://huggingface.co/docs/transformers/main/en/model_doc/qwen3_5</x:v>
      </x:c>
      <x:c r="D7" s="9" t="str">
        <x:v>Model class and processor compatibility</x:v>
      </x:c>
    </x:row>
    <x:row r="8" ht="56" customHeight="1">
      <x:c r="A8" s="10" t="str">
        <x:v>HF03</x:v>
      </x:c>
      <x:c r="B8" s="10" t="str">
        <x:v>Hub downloads</x:v>
      </x:c>
      <x:c r="C8" s="10" t="str">
        <x:v>https://huggingface.co/docs/huggingface_hub/guides/download</x:v>
      </x:c>
      <x:c r="D8" s="10" t="str">
        <x:v>Pinned snapshot acquisition</x:v>
      </x:c>
    </x:row>
    <x:row r="9" ht="56" customHeight="1">
      <x:c r="A9" s="9" t="str">
        <x:v>HF04</x:v>
      </x:c>
      <x:c r="B9" s="9" t="str">
        <x:v>TRL dataset formats</x:v>
      </x:c>
      <x:c r="C9" s="9" t="str">
        <x:v>https://huggingface.co/docs/trl/en/dataset_formats</x:v>
      </x:c>
      <x:c r="D9" s="9" t="str">
        <x:v>Prompt/completion and image inputs</x:v>
      </x:c>
    </x:row>
    <x:row r="10" ht="56" customHeight="1">
      <x:c r="A10" s="10" t="str">
        <x:v>HF05</x:v>
      </x:c>
      <x:c r="B10" s="10" t="str">
        <x:v>TRL SFT trainer</x:v>
      </x:c>
      <x:c r="C10" s="10" t="str">
        <x:v>https://huggingface.co/docs/trl/en/sft_trainer</x:v>
      </x:c>
      <x:c r="D10" s="10" t="str">
        <x:v>Trainer and loss/truncation behavior</x:v>
      </x:c>
    </x:row>
    <x:row r="11" ht="56" customHeight="1">
      <x:c r="A11" s="9" t="str">
        <x:v>HF06</x:v>
      </x:c>
      <x:c r="B11" s="9" t="str">
        <x:v>PEFT LoRA</x:v>
      </x:c>
      <x:c r="C11" s="9" t="str">
        <x:v>https://huggingface.co/docs/peft/main/package_reference/lora</x:v>
      </x:c>
      <x:c r="D11" s="9" t="str">
        <x:v>Adapter configuration</x:v>
      </x:c>
    </x:row>
    <x:row r="12" ht="56" customHeight="1">
      <x:c r="A12" s="10" t="str">
        <x:v>HF07</x:v>
      </x:c>
      <x:c r="B12" s="10" t="str">
        <x:v>PEFT checkpoint format</x:v>
      </x:c>
      <x:c r="C12" s="10" t="str">
        <x:v>https://huggingface.co/docs/peft/main/en/developer_guides/checkpoint</x:v>
      </x:c>
      <x:c r="D12" s="10" t="str">
        <x:v>Adapter artifacts and base dependency</x:v>
      </x:c>
    </x:row>
    <x:row r="13" ht="56" customHeight="1">
      <x:c r="A13" s="9" t="str">
        <x:v>HF08</x:v>
      </x:c>
      <x:c r="B13" s="9" t="str">
        <x:v>Datasets image loading</x:v>
      </x:c>
      <x:c r="C13" s="9" t="str">
        <x:v>https://huggingface.co/docs/datasets/image_load</x:v>
      </x:c>
      <x:c r="D13" s="9" t="str">
        <x:v>Image dataset loading</x:v>
      </x:c>
    </x:row>
    <x:row r="14" ht="56" customHeight="1">
      <x:c r="A14" s="10" t="str">
        <x:v>HF09</x:v>
      </x:c>
      <x:c r="B14" s="10" t="str">
        <x:v>Embedding model</x:v>
      </x:c>
      <x:c r="C14" s="10" t="str">
        <x:v>https://huggingface.co/Qwen/Qwen3-Embedding-0.6B</x:v>
      </x:c>
      <x:c r="D14" s="10" t="str">
        <x:v>Candidate embedding model</x:v>
      </x:c>
    </x:row>
    <x:row r="15" ht="56" customHeight="1">
      <x:c r="A15" s="9" t="str">
        <x:v>HF10</x:v>
      </x:c>
      <x:c r="B15" s="9" t="str">
        <x:v>Reranker model</x:v>
      </x:c>
      <x:c r="C15" s="9" t="str">
        <x:v>https://huggingface.co/Qwen/Qwen3-Reranker-0.6B</x:v>
      </x:c>
      <x:c r="D15" s="9" t="str">
        <x:v>Candidate reranker</x:v>
      </x:c>
    </x:row>
    <x:row r="16" ht="56" customHeight="1">
      <x:c r="A16" s="10" t="str">
        <x:v>DOC01</x:v>
      </x:c>
      <x:c r="B16" s="10" t="str">
        <x:v>Docling supported formats</x:v>
      </x:c>
      <x:c r="C16" s="10" t="str">
        <x:v>https://docling-project.github.io/docling/usage/supported_formats/</x:v>
      </x:c>
      <x:c r="D16" s="10" t="str">
        <x:v>Candidate extraction tool; prove on engineering samples</x:v>
      </x:c>
    </x:row>
    <x:row r="17" ht="56" customHeight="1">
      <x:c r="A17" s="9" t="str">
        <x:v>LOCAL01</x:v>
      </x:c>
      <x:c r="B17" s="9" t="str">
        <x:v>Existing source registers</x:v>
      </x:c>
      <x:c r="C17" s="9" t="str">
        <x:v>Broadbridge_Training_Source_Register.csv and Norm_Lieberman_Source_Register.csv</x:v>
      </x:c>
      <x:c r="D17" s="9" t="str">
        <x:v>Source status inherited from23 September2026 review; not new permission evidence</x:v>
      </x:c>
    </x:row>
    <x:row r="18" ht="56" customHeight="1">
      <x:c r="A18" s="10" t="str">
        <x:v>AWS01</x:v>
      </x:c>
      <x:c r="B18" s="10" t="str">
        <x:v>EC2 G6e instance specifications</x:v>
      </x:c>
      <x:c r="C18" s="10" t="str">
        <x:v>https://aws.amazon.com/ec2/instance-types/g6e/</x:v>
      </x:c>
      <x:c r="D18" s="10" t="str">
        <x:v>Initial 48 GB GPU candidate; validate training memory on actual batches</x:v>
      </x:c>
    </x:row>
    <x:row r="19" ht="56" customHeight="1">
      <x:c r="A19" s="9" t="str">
        <x:v>AWS02</x:v>
      </x:c>
      <x:c r="B19" s="9" t="str">
        <x:v>AWS Deep Learning AMI releases</x:v>
      </x:c>
      <x:c r="C19" s="9" t="str">
        <x:v>https://docs.aws.amazon.com/dlami/latest/devguide/appendix-ami-release-notes.html</x:v>
      </x:c>
      <x:c r="D19" s="9" t="str">
        <x:v>Choose regional PyTorch GPU AMI and record exact image ID</x:v>
      </x:c>
    </x:row>
    <x:row r="20" ht="56" customHeight="1">
      <x:c r="A20" s="10" t="str">
        <x:v>AWS03</x:v>
      </x:c>
      <x:c r="B20" s="10" t="str">
        <x:v>Session Manager prerequisites</x:v>
      </x:c>
      <x:c r="C20" s="10" t="str">
        <x:v>https://docs.aws.amazon.com/systems-manager/latest/userguide/session-manager-prerequisites.html</x:v>
      </x:c>
      <x:c r="D20" s="10" t="str">
        <x:v>Agent, instance role and outbound connectivity</x:v>
      </x:c>
    </x:row>
    <x:row r="21" ht="56" customHeight="1">
      <x:c r="A21" s="9" t="str">
        <x:v>AWS04</x:v>
      </x:c>
      <x:c r="B21" s="9" t="str">
        <x:v>S3 sync command</x:v>
      </x:c>
      <x:c r="C21" s="9" t="str">
        <x:v>https://docs.aws.amazon.com/cli/latest/reference/s3/sync.html</x:v>
      </x:c>
      <x:c r="D21" s="9" t="str">
        <x:v>Copy snapshots, datasets and run artifacts</x:v>
      </x:c>
    </x:row>
  </x:sheetData>
  <x:pageMargins left="0.7" right="0.7" top="0.75" bottom="0.75" header="0.3" footer="0.3"/>
</x:worksheet>
</file>